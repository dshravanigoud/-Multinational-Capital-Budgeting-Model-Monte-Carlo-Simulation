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mc:AlternateContent xmlns:mc="http://schemas.openxmlformats.org/markup-compatibility/2006">
    <mc:Choice Requires="x15">
      <x15ac:absPath xmlns:x15ac="http://schemas.microsoft.com/office/spreadsheetml/2010/11/ac" url="https://d.docs.live.net/816a2329c7571d20/Desktop/"/>
    </mc:Choice>
  </mc:AlternateContent>
  <xr:revisionPtr revIDLastSave="0" documentId="8_{CA45F649-AF25-4998-BC4D-A7A7A4E8008C}" xr6:coauthVersionLast="47" xr6:coauthVersionMax="47" xr10:uidLastSave="{00000000-0000-0000-0000-000000000000}"/>
  <bookViews>
    <workbookView xWindow="-108" yWindow="-108" windowWidth="23256" windowHeight="12456" firstSheet="1" activeTab="1" xr2:uid="{00000000-000D-0000-FFFF-FFFF00000000}"/>
  </bookViews>
  <sheets>
    <sheet name="CB_DATA_" sheetId="2" state="veryHidden" r:id="rId1"/>
    <sheet name="Base case" sheetId="1" r:id="rId2"/>
    <sheet name="Best case" sheetId="4" r:id="rId3"/>
    <sheet name="Worst case" sheetId="3" r:id="rId4"/>
  </sheets>
  <definedNames>
    <definedName name="CB_063cc2252ce84fcdbde521fd150c2d63" localSheetId="1" hidden="1">'Base case'!$G$29</definedName>
    <definedName name="CB_082897aedbaf4831847783e6e89bfc7b" localSheetId="1" hidden="1">'Base case'!$C$24</definedName>
    <definedName name="CB_097755207a674d8c87b938a61b089238" localSheetId="0" hidden="1">#N/A</definedName>
    <definedName name="CB_0bc5e55f241f469b81e04405fa501669" localSheetId="1" hidden="1">'Base case'!$D$13</definedName>
    <definedName name="CB_0c1f8336b78a44939e7b265845c1c7d1" localSheetId="1" hidden="1">'Base case'!$I$27</definedName>
    <definedName name="CB_0e428358b81d4804abdd137b3bc0a521" localSheetId="1" hidden="1">'Base case'!$D$26</definedName>
    <definedName name="CB_0ebe6b29134d4f578ee3eb33d205992a" localSheetId="1" hidden="1">'Base case'!$F$25</definedName>
    <definedName name="CB_123b827b00a344dd87063aa5c4fdb396" localSheetId="0" hidden="1">#N/A</definedName>
    <definedName name="CB_12a3592a86da492c83ed30db119c3ade" localSheetId="1" hidden="1">'Base case'!$L$27</definedName>
    <definedName name="CB_13434ccf3cc64262a4ab1ee1ebeacfce" localSheetId="1" hidden="1">'Base case'!$K$29</definedName>
    <definedName name="CB_14baa36ab4434c59a8a24a19bdeee2f6" localSheetId="1" hidden="1">'Base case'!$G$30</definedName>
    <definedName name="CB_153c6297ad5041ca9068fd9d33042f71" localSheetId="1" hidden="1">'Base case'!$K$27</definedName>
    <definedName name="CB_158a876036b949c1b52eb580269ec772" localSheetId="1" hidden="1">'Base case'!$E$28</definedName>
    <definedName name="CB_1593f291a01c415db1faaffd2277c04e" localSheetId="1" hidden="1">'Base case'!$L$26</definedName>
    <definedName name="CB_1e5c38c161c446d38658528b88431c6b" localSheetId="0" hidden="1">#N/A</definedName>
    <definedName name="CB_1f2d8996e10c4945accd1d114ff70912" localSheetId="1" hidden="1">'Base case'!$B$8</definedName>
    <definedName name="CB_2024f6e057a34085b052e62e77f97887" localSheetId="1" hidden="1">'Base case'!$J$30</definedName>
    <definedName name="CB_21fd5963761948e8aab3927694a9b449" localSheetId="1" hidden="1">'Base case'!$H$29</definedName>
    <definedName name="CB_2239d8941bbd4ecfbad9471c82280db3" localSheetId="1" hidden="1">'Base case'!$K$26</definedName>
    <definedName name="CB_22bd2cae49a84aada2db08ab504539cd" localSheetId="1" hidden="1">'Base case'!$E$23</definedName>
    <definedName name="CB_22ce9d96d2fa400cb2ff75a3616f226b" localSheetId="1" hidden="1">'Base case'!$B$9</definedName>
    <definedName name="CB_247fe7c3bb1040219d6246619ecf9c19" localSheetId="1" hidden="1">'Base case'!$C$21</definedName>
    <definedName name="CB_26e1956b6e7149adbffcba32aef82f2b" localSheetId="0" hidden="1">#N/A</definedName>
    <definedName name="CB_292e55e5ea234d73b5fdddf6037ca38e" localSheetId="1" hidden="1">'Base case'!$H$28</definedName>
    <definedName name="CB_2b3c343d1e4746109434042a98a6e794" localSheetId="1" hidden="1">'Base case'!$E$21</definedName>
    <definedName name="CB_2e97ce1fc79249d19cb3ecbeed424b59" localSheetId="1" hidden="1">'Base case'!$L$21</definedName>
    <definedName name="CB_2ebe1d4c6495485192835c71e944fa0e" localSheetId="1" hidden="1">'Base case'!$K$22</definedName>
    <definedName name="CB_315ca5d6b01e4117b57403f9530ff019" localSheetId="1" hidden="1">'Base case'!$H$26</definedName>
    <definedName name="CB_33b4662ac03d493cb66b7bedad647382" localSheetId="1" hidden="1">'Base case'!$D$22</definedName>
    <definedName name="CB_3576b880b94f43449977cc31ffa444d6" localSheetId="1" hidden="1">'Base case'!$L$29</definedName>
    <definedName name="CB_383d564babd04ad5a11d879d2ac14949" localSheetId="1" hidden="1">'Base case'!$J$25</definedName>
    <definedName name="CB_3b5b67b94a36412a846135430b3a8b7c" localSheetId="1" hidden="1">'Base case'!$C$16</definedName>
    <definedName name="CB_3b65cff02b384cd6b7e208fb1c760728" localSheetId="1" hidden="1">'Base case'!$F$26</definedName>
    <definedName name="CB_3c74be23e9e941439e9e94e78192cff5" localSheetId="1" hidden="1">'Base case'!$E$22</definedName>
    <definedName name="CB_3f4de0239d5c4e52bb2228ba4427c5f0" localSheetId="1" hidden="1">'Base case'!$J$23</definedName>
    <definedName name="CB_3f66bdf085744f7d96f21605106ca987" localSheetId="1" hidden="1">'Base case'!$D$24</definedName>
    <definedName name="CB_3fe7618fdb1641d98a823fa6b145d1c5" localSheetId="1" hidden="1">'Base case'!$E$26</definedName>
    <definedName name="CB_42ae3213c65a41659f05cd8880a0badf" localSheetId="1" hidden="1">'Base case'!$D$30</definedName>
    <definedName name="CB_43b54a0a5699462ebbb125b54936e66d" localSheetId="1" hidden="1">'Base case'!$D$28</definedName>
    <definedName name="CB_467f03d640b74a6cbe77bc0550371d52" localSheetId="1" hidden="1">'Base case'!$J$28</definedName>
    <definedName name="CB_4dea3f8cfdf24ab8a5c813e1329c80de" localSheetId="1" hidden="1">'Base case'!$B$103</definedName>
    <definedName name="CB_51d75d2fae2140868791f492cc16d449" localSheetId="1" hidden="1">'Base case'!$G$24</definedName>
    <definedName name="CB_526455c7642f452092f6f44316e7e3c0" localSheetId="1" hidden="1">'Base case'!$D$21</definedName>
    <definedName name="CB_57830ec847ba4f52b0e22a82bdbb6e5c" localSheetId="1" hidden="1">'Base case'!$K$23</definedName>
    <definedName name="CB_59417e7b3a714b3c90e43d117e94a9f8" localSheetId="1" hidden="1">'Base case'!$L$30</definedName>
    <definedName name="CB_5e74337ba33c4675a17e58a805591cf9" localSheetId="1" hidden="1">'Base case'!$B$10</definedName>
    <definedName name="CB_5fc4222902264a04b88aea98be711f59" localSheetId="1" hidden="1">'Base case'!$E$25</definedName>
    <definedName name="CB_6112a78411fb4b719badafbe6884e45c" localSheetId="1" hidden="1">'Base case'!$B$102</definedName>
    <definedName name="CB_6345332d3cdf408e8ae6b9e2b808a9b5" localSheetId="1" hidden="1">'Base case'!$C$14</definedName>
    <definedName name="CB_65cbd8fee68d421685b97c7b60105089" localSheetId="0" hidden="1">#N/A</definedName>
    <definedName name="CB_667a52f6e79044dd8e9848d46cdcdfc0" localSheetId="1" hidden="1">'Base case'!$D$16</definedName>
    <definedName name="CB_669f962415c74f9485ceece94f7fce67" localSheetId="1" hidden="1">'Base case'!$L$22</definedName>
    <definedName name="CB_67115b6aa0054d4e90abaf3d68f4161a" localSheetId="1" hidden="1">'Base case'!$B$100</definedName>
    <definedName name="CB_6738a9b441ac4a6aacb42caae492102f" localSheetId="1" hidden="1">'Base case'!$J$27</definedName>
    <definedName name="CB_6b6ab44ee7614ea285649bcd416a34ec" localSheetId="1" hidden="1">'Base case'!$I$23</definedName>
    <definedName name="CB_6bb3841086404588a501ae869954a030" localSheetId="1" hidden="1">'Base case'!$D$29</definedName>
    <definedName name="CB_6e1f78ce9d334919a63a08d083c9186d" localSheetId="1" hidden="1">'Base case'!$D$17</definedName>
    <definedName name="CB_6e614ec0b97848d4a76173c343be937a" localSheetId="1" hidden="1">'Base case'!$L$28</definedName>
    <definedName name="CB_74cdf4fe3b624f79a668d5009bca7eee" localSheetId="1" hidden="1">'Base case'!$J$22</definedName>
    <definedName name="CB_7578673a4fac445d956a34656d1017ed" localSheetId="1" hidden="1">'Base case'!$I$21</definedName>
    <definedName name="CB_769d43b4353646458e3c2dea07625157" localSheetId="1" hidden="1">'Base case'!$C$17</definedName>
    <definedName name="CB_7794c89826434557bd301bb48b48c9bf" localSheetId="1" hidden="1">'Base case'!$D$27</definedName>
    <definedName name="CB_77ae4ea2335c488ca1c7247725360bec" localSheetId="1" hidden="1">'Base case'!$H$25</definedName>
    <definedName name="CB_794bf8b1022c49e4a8f5d7137356d3cc" localSheetId="1" hidden="1">'Base case'!$E$24</definedName>
    <definedName name="CB_7bc9196461f046d897fc97cd93550f07" localSheetId="1" hidden="1">'Base case'!$C$15</definedName>
    <definedName name="CB_7ca88108021d461d84eff2ab90980b86" localSheetId="1" hidden="1">'Base case'!$I$25</definedName>
    <definedName name="CB_7dfa83aacbb04379b5927568aa94a303" localSheetId="1" hidden="1">'Base case'!$F$22</definedName>
    <definedName name="CB_7eb2a4d267994e049e385a9cc211fd8c" localSheetId="1" hidden="1">'Base case'!$F$23</definedName>
    <definedName name="CB_7fb302ad65ea4103a90750c02062747c" localSheetId="1" hidden="1">'Base case'!$K$28</definedName>
    <definedName name="CB_8250dfe45da7419a864f89d29f912557" localSheetId="1" hidden="1">'Base case'!$G$27</definedName>
    <definedName name="CB_882d3c1f42514b9d9d2c7d54618cd1dd" localSheetId="1" hidden="1">'Base case'!$I$30</definedName>
    <definedName name="CB_88aa937953174a5d8658dd5a85485f6f" localSheetId="1" hidden="1">'Base case'!$J$24</definedName>
    <definedName name="CB_8cdce0809e394ee78d2516448ce01d29" localSheetId="1" hidden="1">'Base case'!$B$101</definedName>
    <definedName name="CB_8ddc59af95bb49b7a25f3092111f03cc" localSheetId="1" hidden="1">'Base case'!$L$24</definedName>
    <definedName name="CB_973b32a4ab12450eb98694cae863439a" localSheetId="1" hidden="1">'Base case'!$F$30</definedName>
    <definedName name="CB_99e1ea340e9f4d64aefd02a5d72a9000" localSheetId="1" hidden="1">'Base case'!$G$25</definedName>
    <definedName name="CB_9b47e608062d4c15881e3b60aa08bf5f" localSheetId="0" hidden="1">#N/A</definedName>
    <definedName name="CB_9b7aaaabd647486bbb94d94e36d66d71" localSheetId="1" hidden="1">'Base case'!$I$29</definedName>
    <definedName name="CB_9e55cc806e6744acbc0a37ff424992cb" localSheetId="1" hidden="1">'Base case'!$H$23</definedName>
    <definedName name="CB_a9d5966e707d48e2b92e62fbc3267112" localSheetId="1" hidden="1">'Base case'!$C$22</definedName>
    <definedName name="CB_aa8d54b5df774e3e8956643380bc5548" localSheetId="1" hidden="1">'Base case'!$G$23</definedName>
    <definedName name="CB_ab7ebe7b189f489c8915d15341832d5c" localSheetId="1" hidden="1">'Base case'!$H$21</definedName>
    <definedName name="CB_ac82e4c9de2945deb8f11f503312a0e1" localSheetId="1" hidden="1">'Base case'!$J$21</definedName>
    <definedName name="CB_aff8214c32c441c4b4287217b447f90b" localSheetId="1" hidden="1">'Base case'!$F$28</definedName>
    <definedName name="CB_b06af8bd1149486f8b3b753b1be630c3" localSheetId="1" hidden="1">'Base case'!$G$26</definedName>
    <definedName name="CB_b535515c1c4849d59197e01369aeb2aa" localSheetId="1" hidden="1">'Base case'!$L$25</definedName>
    <definedName name="CB_b58abe6bace14258956048de06e5a78a" localSheetId="1" hidden="1">'Base case'!$G$21</definedName>
    <definedName name="CB_bc5e76197ba94dd69dda63c4754618f3" localSheetId="1" hidden="1">'Base case'!$G$28</definedName>
    <definedName name="CB_Block_00000000000000000000000000000000" localSheetId="1" hidden="1">"'7.0.0.0"</definedName>
    <definedName name="CB_Block_00000000000000000000000000000000" localSheetId="0" hidden="1">"'7.0.0.0"</definedName>
    <definedName name="CB_Block_00000000000000000000000000000001" localSheetId="1" hidden="1">"'638482932748035038"</definedName>
    <definedName name="CB_Block_00000000000000000000000000000001" localSheetId="0" hidden="1">"'638482932746368678"</definedName>
    <definedName name="CB_Block_00000000000000000000000000000003" localSheetId="1" hidden="1">"'11.1.5072.0"</definedName>
    <definedName name="CB_Block_00000000000000000000000000000003" localSheetId="0" hidden="1">"'11.1.5072.0"</definedName>
    <definedName name="CB_BlockExt_00000000000000000000000000000003" localSheetId="1" hidden="1">"'11.1.3.0.000"</definedName>
    <definedName name="CB_BlockExt_00000000000000000000000000000003" localSheetId="0" hidden="1">"'11.1.3.0.000"</definedName>
    <definedName name="CB_c10e20139ac14cefac6134eae53d5a8c" localSheetId="0" hidden="1">#N/A</definedName>
    <definedName name="CB_c2061421e3634743abb72a66e5325bb0" localSheetId="1" hidden="1">'Base case'!$D$25</definedName>
    <definedName name="CB_c45ae7dc1bed45f7906dcfaa8a6a6784" localSheetId="1" hidden="1">'Base case'!$I$26</definedName>
    <definedName name="CB_c73bd789b51c4255b1bee7a32b82de55" localSheetId="1" hidden="1">'Base case'!$F$29</definedName>
    <definedName name="CB_c7d2629e5796492991a5a6653040e30d" localSheetId="1" hidden="1">'Base case'!$F$27</definedName>
    <definedName name="CB_ca1456a95890456b8166d12b1a9c5eb0" localSheetId="1" hidden="1">'Base case'!$I$28</definedName>
    <definedName name="CB_cb582b7c4cfd4c87aa5847ab307560e2" localSheetId="1" hidden="1">'Base case'!$E$29</definedName>
    <definedName name="CB_ce6f1236a04741429b140c2c6a0601f3" localSheetId="1" hidden="1">'Base case'!$K$25</definedName>
    <definedName name="CB_cff755a2822644728cab4fcbffb21bcf" localSheetId="1" hidden="1">'Base case'!$L$23</definedName>
    <definedName name="CB_d015d29669194493a9fecb18967f6f30" localSheetId="1" hidden="1">'Base case'!$H$30</definedName>
    <definedName name="CB_d152b6dac13e4a5fa1275fdbfd538480" localSheetId="1" hidden="1">'Base case'!$F$21</definedName>
    <definedName name="CB_d3139e2a6443451991501a1f53e2930c" localSheetId="1" hidden="1">'Base case'!$C$13</definedName>
    <definedName name="CB_d6daa15791624ad6bc6a3a23ce57b40a" localSheetId="1" hidden="1">'Base case'!$E$30</definedName>
    <definedName name="CB_d6ee2dddbde341ae8bfce771e5f09252" localSheetId="1" hidden="1">'Base case'!$C$23</definedName>
    <definedName name="CB_d71eef4b275d4f8d93993a7049fc69bb" localSheetId="1" hidden="1">'Base case'!$D$23</definedName>
    <definedName name="CB_d8c61ad3778d4e80ac986817f80624f3" localSheetId="1" hidden="1">'Base case'!$H$22</definedName>
    <definedName name="CB_d961fdc209d949399709f5c2e8154b3b" localSheetId="1" hidden="1">'Base case'!$K$30</definedName>
    <definedName name="CB_db283b0246e24a6a816bf2814fac2222" localSheetId="1" hidden="1">'Base case'!$F$24</definedName>
    <definedName name="CB_dcfba02f8f3b4e78bc7ce6b50f026756" localSheetId="1" hidden="1">'Base case'!$H$27</definedName>
    <definedName name="CB_dec02112154c41baa51525ffebc373ea" localSheetId="0" hidden="1">#N/A</definedName>
    <definedName name="CB_e0b3e1035618414fa22f98f5af470df8" localSheetId="1" hidden="1">'Base case'!$K$21</definedName>
    <definedName name="CB_e3ef22ed7a4348088ce1c166c98847a2" localSheetId="1" hidden="1">'Base case'!$D$14</definedName>
    <definedName name="CB_e4f89333b5194a97befa852b110a09da" localSheetId="1" hidden="1">'Base case'!$J$26</definedName>
    <definedName name="CB_e713234e4a584b8b9da50782df25925e" localSheetId="1" hidden="1">'Base case'!$I$24</definedName>
    <definedName name="CB_ee499105e1f14f15832ac47adc17111e" localSheetId="1" hidden="1">'Base case'!$D$15</definedName>
    <definedName name="CB_ee766eac3f0f4bcbb9087dc79c655928" localSheetId="1" hidden="1">'Base case'!$H$24</definedName>
    <definedName name="CB_f148df3e53a343b8b44881f611449770" localSheetId="1" hidden="1">'Base case'!$K$24</definedName>
    <definedName name="CB_f3a05ef47ffc4df8a9b34a4e7a5eb222" localSheetId="1" hidden="1">'Base case'!$E$27</definedName>
    <definedName name="CB_f76e1bd27d6142eaaa50fa8bee05d5a8" localSheetId="1" hidden="1">'Base case'!$C$25</definedName>
    <definedName name="CB_f7d67f5dcca64073a6d42d783b8e1c2b" localSheetId="1" hidden="1">'Base case'!$J$29</definedName>
    <definedName name="CB_f896128d57564ca1a337a24b927b034a" localSheetId="1" hidden="1">'Base case'!$G$22</definedName>
    <definedName name="CB_fb03cd48ec2b4381b4a343fbab1f634d" localSheetId="1" hidden="1">'Base case'!$I$22</definedName>
    <definedName name="CBWorkbookPriority" localSheetId="0" hidden="1">-739428770104818</definedName>
    <definedName name="CBx_2d99e7c05dbb4ba6aedfe1a2880d82ba" localSheetId="0" hidden="1">"'CB_DATA_'!$A$1"</definedName>
    <definedName name="CBx_a8e1cddc456b4b829631e684e32eb7d5" localSheetId="0" hidden="1">"'Sheet1'!$A$1"</definedName>
    <definedName name="CBx_Sheet_Guid" localSheetId="1" hidden="1">"'a8e1cddc-456b-4b82-9631-e684e32eb7d5"</definedName>
    <definedName name="CBx_Sheet_Guid" localSheetId="0" hidden="1">"'2d99e7c0-5dbb-4ba6-aedf-e1a2880d82ba"</definedName>
    <definedName name="CBx_SheetRef" localSheetId="1" hidden="1">CB_DATA_!$B$14</definedName>
    <definedName name="CBx_SheetRef" localSheetId="0" hidden="1">CB_DATA_!$A$14</definedName>
    <definedName name="CBx_StorageType" localSheetId="1" hidden="1">2</definedName>
    <definedName name="CBx_StorageType" localSheetId="0" hidden="1">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95" i="4" l="1"/>
  <c r="B97" i="4" s="1"/>
  <c r="C93" i="4"/>
  <c r="B92" i="4"/>
  <c r="D84" i="4"/>
  <c r="E84" i="4" s="1"/>
  <c r="F84" i="4" s="1"/>
  <c r="G84" i="4" s="1"/>
  <c r="C84" i="4"/>
  <c r="F83" i="4"/>
  <c r="G83" i="4" s="1"/>
  <c r="E83" i="4"/>
  <c r="D83" i="4"/>
  <c r="C83" i="4"/>
  <c r="E82" i="4"/>
  <c r="E93" i="4" s="1"/>
  <c r="D82" i="4"/>
  <c r="D93" i="4" s="1"/>
  <c r="C82" i="4"/>
  <c r="C80" i="4"/>
  <c r="D76" i="4"/>
  <c r="E76" i="4" s="1"/>
  <c r="F76" i="4" s="1"/>
  <c r="G76" i="4" s="1"/>
  <c r="H76" i="4" s="1"/>
  <c r="I76" i="4" s="1"/>
  <c r="J76" i="4" s="1"/>
  <c r="K76" i="4" s="1"/>
  <c r="L76" i="4" s="1"/>
  <c r="C76" i="4"/>
  <c r="E75" i="4"/>
  <c r="F75" i="4" s="1"/>
  <c r="G75" i="4" s="1"/>
  <c r="H75" i="4" s="1"/>
  <c r="I75" i="4" s="1"/>
  <c r="J75" i="4" s="1"/>
  <c r="K75" i="4" s="1"/>
  <c r="L75" i="4" s="1"/>
  <c r="D75" i="4"/>
  <c r="C75" i="4"/>
  <c r="E74" i="4"/>
  <c r="F74" i="4" s="1"/>
  <c r="G74" i="4" s="1"/>
  <c r="H74" i="4" s="1"/>
  <c r="I74" i="4" s="1"/>
  <c r="J74" i="4" s="1"/>
  <c r="K74" i="4" s="1"/>
  <c r="L74" i="4" s="1"/>
  <c r="D74" i="4"/>
  <c r="C74" i="4"/>
  <c r="D72" i="4"/>
  <c r="E72" i="4" s="1"/>
  <c r="F72" i="4" s="1"/>
  <c r="G72" i="4" s="1"/>
  <c r="H72" i="4" s="1"/>
  <c r="I72" i="4" s="1"/>
  <c r="J72" i="4" s="1"/>
  <c r="K72" i="4" s="1"/>
  <c r="L72" i="4" s="1"/>
  <c r="C72" i="4"/>
  <c r="F71" i="4"/>
  <c r="G71" i="4" s="1"/>
  <c r="H71" i="4" s="1"/>
  <c r="I71" i="4" s="1"/>
  <c r="J71" i="4" s="1"/>
  <c r="K71" i="4" s="1"/>
  <c r="L71" i="4" s="1"/>
  <c r="E71" i="4"/>
  <c r="D71" i="4"/>
  <c r="C71" i="4"/>
  <c r="E69" i="4"/>
  <c r="F69" i="4" s="1"/>
  <c r="G69" i="4" s="1"/>
  <c r="H69" i="4" s="1"/>
  <c r="I69" i="4" s="1"/>
  <c r="J69" i="4" s="1"/>
  <c r="K69" i="4" s="1"/>
  <c r="L69" i="4" s="1"/>
  <c r="D69" i="4"/>
  <c r="C69" i="4"/>
  <c r="E67" i="4"/>
  <c r="F67" i="4" s="1"/>
  <c r="G67" i="4" s="1"/>
  <c r="H67" i="4" s="1"/>
  <c r="I67" i="4" s="1"/>
  <c r="J67" i="4" s="1"/>
  <c r="K67" i="4" s="1"/>
  <c r="L67" i="4" s="1"/>
  <c r="D67" i="4"/>
  <c r="C67" i="4"/>
  <c r="E65" i="4"/>
  <c r="F65" i="4" s="1"/>
  <c r="G65" i="4" s="1"/>
  <c r="H65" i="4" s="1"/>
  <c r="I65" i="4" s="1"/>
  <c r="J65" i="4" s="1"/>
  <c r="K65" i="4" s="1"/>
  <c r="L65" i="4" s="1"/>
  <c r="D65" i="4"/>
  <c r="C65" i="4"/>
  <c r="E63" i="4"/>
  <c r="D63" i="4"/>
  <c r="C63" i="4"/>
  <c r="E57" i="4"/>
  <c r="E81" i="4" s="1"/>
  <c r="C57" i="4"/>
  <c r="C81" i="4" s="1"/>
  <c r="D56" i="4"/>
  <c r="D80" i="4" s="1"/>
  <c r="C56" i="4"/>
  <c r="D55" i="4"/>
  <c r="D79" i="4" s="1"/>
  <c r="C55" i="4"/>
  <c r="C79" i="4" s="1"/>
  <c r="E54" i="4"/>
  <c r="C54" i="4"/>
  <c r="C78" i="4" s="1"/>
  <c r="E53" i="4"/>
  <c r="E77" i="4" s="1"/>
  <c r="C53" i="4"/>
  <c r="C77" i="4" s="1"/>
  <c r="E49" i="4"/>
  <c r="F49" i="4" s="1"/>
  <c r="G49" i="4" s="1"/>
  <c r="H49" i="4" s="1"/>
  <c r="I49" i="4" s="1"/>
  <c r="J49" i="4" s="1"/>
  <c r="K49" i="4" s="1"/>
  <c r="L49" i="4" s="1"/>
  <c r="D49" i="4"/>
  <c r="D57" i="4" s="1"/>
  <c r="D81" i="4" s="1"/>
  <c r="C49" i="4"/>
  <c r="G48" i="4"/>
  <c r="H48" i="4" s="1"/>
  <c r="I48" i="4" s="1"/>
  <c r="J48" i="4" s="1"/>
  <c r="K48" i="4" s="1"/>
  <c r="L48" i="4" s="1"/>
  <c r="F48" i="4"/>
  <c r="E48" i="4"/>
  <c r="D48" i="4"/>
  <c r="C48" i="4"/>
  <c r="E47" i="4"/>
  <c r="F47" i="4" s="1"/>
  <c r="G47" i="4" s="1"/>
  <c r="H47" i="4" s="1"/>
  <c r="I47" i="4" s="1"/>
  <c r="J47" i="4" s="1"/>
  <c r="K47" i="4" s="1"/>
  <c r="L47" i="4" s="1"/>
  <c r="D47" i="4"/>
  <c r="C47" i="4"/>
  <c r="E46" i="4"/>
  <c r="F46" i="4" s="1"/>
  <c r="G46" i="4" s="1"/>
  <c r="H46" i="4" s="1"/>
  <c r="I46" i="4" s="1"/>
  <c r="J46" i="4" s="1"/>
  <c r="K46" i="4" s="1"/>
  <c r="L46" i="4" s="1"/>
  <c r="D46" i="4"/>
  <c r="C46" i="4"/>
  <c r="E45" i="4"/>
  <c r="F45" i="4" s="1"/>
  <c r="G45" i="4" s="1"/>
  <c r="H45" i="4" s="1"/>
  <c r="I45" i="4" s="1"/>
  <c r="J45" i="4" s="1"/>
  <c r="K45" i="4" s="1"/>
  <c r="L45" i="4" s="1"/>
  <c r="D45" i="4"/>
  <c r="D53" i="4" s="1"/>
  <c r="C45" i="4"/>
  <c r="E42" i="4"/>
  <c r="F42" i="4" s="1"/>
  <c r="D42" i="4"/>
  <c r="C42" i="4"/>
  <c r="E41" i="4"/>
  <c r="D41" i="4"/>
  <c r="C41" i="4"/>
  <c r="E40" i="4"/>
  <c r="F40" i="4" s="1"/>
  <c r="D40" i="4"/>
  <c r="C40" i="4"/>
  <c r="E39" i="4"/>
  <c r="F39" i="4" s="1"/>
  <c r="G39" i="4" s="1"/>
  <c r="D39" i="4"/>
  <c r="D54" i="4" s="1"/>
  <c r="D78" i="4" s="1"/>
  <c r="C39" i="4"/>
  <c r="E38" i="4"/>
  <c r="F38" i="4" s="1"/>
  <c r="D38" i="4"/>
  <c r="C38" i="4"/>
  <c r="C35" i="4"/>
  <c r="D35" i="4" s="1"/>
  <c r="E35" i="4" s="1"/>
  <c r="F35" i="4" s="1"/>
  <c r="G35" i="4" s="1"/>
  <c r="H35" i="4" s="1"/>
  <c r="I35" i="4" s="1"/>
  <c r="J35" i="4" s="1"/>
  <c r="K35" i="4" s="1"/>
  <c r="L35" i="4" s="1"/>
  <c r="B35" i="4"/>
  <c r="C34" i="4"/>
  <c r="D34" i="4" s="1"/>
  <c r="E34" i="4" s="1"/>
  <c r="F34" i="4" s="1"/>
  <c r="G34" i="4" s="1"/>
  <c r="H34" i="4" s="1"/>
  <c r="I34" i="4" s="1"/>
  <c r="J34" i="4" s="1"/>
  <c r="K34" i="4" s="1"/>
  <c r="L34" i="4" s="1"/>
  <c r="B34" i="4"/>
  <c r="I33" i="4"/>
  <c r="J33" i="4" s="1"/>
  <c r="K33" i="4" s="1"/>
  <c r="L33" i="4" s="1"/>
  <c r="C33" i="4"/>
  <c r="D33" i="4" s="1"/>
  <c r="E33" i="4" s="1"/>
  <c r="F33" i="4" s="1"/>
  <c r="G33" i="4" s="1"/>
  <c r="H33" i="4" s="1"/>
  <c r="B33" i="4"/>
  <c r="B95" i="3"/>
  <c r="B97" i="3" s="1"/>
  <c r="B92" i="3"/>
  <c r="D84" i="3"/>
  <c r="E84" i="3" s="1"/>
  <c r="F84" i="3" s="1"/>
  <c r="G84" i="3" s="1"/>
  <c r="C84" i="3"/>
  <c r="C83" i="3"/>
  <c r="D83" i="3" s="1"/>
  <c r="E83" i="3" s="1"/>
  <c r="F83" i="3" s="1"/>
  <c r="G83" i="3" s="1"/>
  <c r="C82" i="3"/>
  <c r="C93" i="3" s="1"/>
  <c r="C76" i="3"/>
  <c r="D76" i="3" s="1"/>
  <c r="E76" i="3" s="1"/>
  <c r="F76" i="3" s="1"/>
  <c r="G76" i="3" s="1"/>
  <c r="H76" i="3" s="1"/>
  <c r="I76" i="3" s="1"/>
  <c r="J76" i="3" s="1"/>
  <c r="K76" i="3" s="1"/>
  <c r="L76" i="3" s="1"/>
  <c r="I75" i="3"/>
  <c r="J75" i="3" s="1"/>
  <c r="K75" i="3" s="1"/>
  <c r="L75" i="3" s="1"/>
  <c r="C75" i="3"/>
  <c r="D75" i="3" s="1"/>
  <c r="E75" i="3" s="1"/>
  <c r="F75" i="3" s="1"/>
  <c r="G75" i="3" s="1"/>
  <c r="H75" i="3" s="1"/>
  <c r="D74" i="3"/>
  <c r="E74" i="3" s="1"/>
  <c r="F74" i="3" s="1"/>
  <c r="G74" i="3" s="1"/>
  <c r="H74" i="3" s="1"/>
  <c r="I74" i="3" s="1"/>
  <c r="J74" i="3" s="1"/>
  <c r="K74" i="3" s="1"/>
  <c r="L74" i="3" s="1"/>
  <c r="C74" i="3"/>
  <c r="C72" i="3"/>
  <c r="D72" i="3" s="1"/>
  <c r="E72" i="3" s="1"/>
  <c r="F72" i="3" s="1"/>
  <c r="G72" i="3" s="1"/>
  <c r="H72" i="3" s="1"/>
  <c r="I72" i="3" s="1"/>
  <c r="J72" i="3" s="1"/>
  <c r="K72" i="3" s="1"/>
  <c r="L72" i="3" s="1"/>
  <c r="C71" i="3"/>
  <c r="D71" i="3" s="1"/>
  <c r="E71" i="3" s="1"/>
  <c r="F71" i="3" s="1"/>
  <c r="G71" i="3" s="1"/>
  <c r="H71" i="3" s="1"/>
  <c r="I71" i="3" s="1"/>
  <c r="J71" i="3" s="1"/>
  <c r="K71" i="3" s="1"/>
  <c r="L71" i="3" s="1"/>
  <c r="E69" i="3"/>
  <c r="F69" i="3" s="1"/>
  <c r="G69" i="3" s="1"/>
  <c r="H69" i="3" s="1"/>
  <c r="I69" i="3" s="1"/>
  <c r="J69" i="3" s="1"/>
  <c r="K69" i="3" s="1"/>
  <c r="L69" i="3" s="1"/>
  <c r="C69" i="3"/>
  <c r="D69" i="3" s="1"/>
  <c r="C67" i="3"/>
  <c r="D67" i="3" s="1"/>
  <c r="E67" i="3" s="1"/>
  <c r="F67" i="3" s="1"/>
  <c r="G67" i="3" s="1"/>
  <c r="H67" i="3" s="1"/>
  <c r="I67" i="3" s="1"/>
  <c r="J67" i="3" s="1"/>
  <c r="K67" i="3" s="1"/>
  <c r="L67" i="3" s="1"/>
  <c r="C65" i="3"/>
  <c r="D65" i="3" s="1"/>
  <c r="E65" i="3" s="1"/>
  <c r="F65" i="3" s="1"/>
  <c r="G65" i="3" s="1"/>
  <c r="H65" i="3" s="1"/>
  <c r="I65" i="3" s="1"/>
  <c r="J65" i="3" s="1"/>
  <c r="K65" i="3" s="1"/>
  <c r="L65" i="3" s="1"/>
  <c r="C63" i="3"/>
  <c r="C49" i="3"/>
  <c r="D49" i="3" s="1"/>
  <c r="E49" i="3" s="1"/>
  <c r="F49" i="3" s="1"/>
  <c r="G49" i="3" s="1"/>
  <c r="H49" i="3" s="1"/>
  <c r="I49" i="3" s="1"/>
  <c r="J49" i="3" s="1"/>
  <c r="K49" i="3" s="1"/>
  <c r="L49" i="3" s="1"/>
  <c r="C48" i="3"/>
  <c r="D48" i="3" s="1"/>
  <c r="E48" i="3" s="1"/>
  <c r="F48" i="3" s="1"/>
  <c r="G48" i="3" s="1"/>
  <c r="H48" i="3" s="1"/>
  <c r="I48" i="3" s="1"/>
  <c r="J48" i="3" s="1"/>
  <c r="K48" i="3" s="1"/>
  <c r="L48" i="3" s="1"/>
  <c r="C47" i="3"/>
  <c r="C55" i="3" s="1"/>
  <c r="C79" i="3" s="1"/>
  <c r="C46" i="3"/>
  <c r="D46" i="3" s="1"/>
  <c r="E46" i="3" s="1"/>
  <c r="F46" i="3" s="1"/>
  <c r="G46" i="3" s="1"/>
  <c r="H46" i="3" s="1"/>
  <c r="I46" i="3" s="1"/>
  <c r="J46" i="3" s="1"/>
  <c r="K46" i="3" s="1"/>
  <c r="L46" i="3" s="1"/>
  <c r="G45" i="3"/>
  <c r="H45" i="3" s="1"/>
  <c r="I45" i="3" s="1"/>
  <c r="J45" i="3" s="1"/>
  <c r="K45" i="3" s="1"/>
  <c r="L45" i="3" s="1"/>
  <c r="C45" i="3"/>
  <c r="D45" i="3" s="1"/>
  <c r="E45" i="3" s="1"/>
  <c r="F45" i="3" s="1"/>
  <c r="C42" i="3"/>
  <c r="C57" i="3" s="1"/>
  <c r="C81" i="3" s="1"/>
  <c r="C41" i="3"/>
  <c r="D41" i="3" s="1"/>
  <c r="F40" i="3"/>
  <c r="E40" i="3"/>
  <c r="C40" i="3"/>
  <c r="D40" i="3" s="1"/>
  <c r="C39" i="3"/>
  <c r="D39" i="3" s="1"/>
  <c r="E39" i="3" s="1"/>
  <c r="F39" i="3" s="1"/>
  <c r="E38" i="3"/>
  <c r="F38" i="3" s="1"/>
  <c r="G38" i="3" s="1"/>
  <c r="H38" i="3" s="1"/>
  <c r="I38" i="3" s="1"/>
  <c r="D38" i="3"/>
  <c r="D53" i="3" s="1"/>
  <c r="D77" i="3" s="1"/>
  <c r="C38" i="3"/>
  <c r="C53" i="3" s="1"/>
  <c r="C77" i="3" s="1"/>
  <c r="C35" i="3"/>
  <c r="D35" i="3" s="1"/>
  <c r="E35" i="3" s="1"/>
  <c r="F35" i="3" s="1"/>
  <c r="G35" i="3" s="1"/>
  <c r="H35" i="3" s="1"/>
  <c r="I35" i="3" s="1"/>
  <c r="J35" i="3" s="1"/>
  <c r="K35" i="3" s="1"/>
  <c r="L35" i="3" s="1"/>
  <c r="B35" i="3"/>
  <c r="B34" i="3"/>
  <c r="C34" i="3" s="1"/>
  <c r="D34" i="3" s="1"/>
  <c r="E34" i="3" s="1"/>
  <c r="F34" i="3" s="1"/>
  <c r="G34" i="3" s="1"/>
  <c r="H34" i="3" s="1"/>
  <c r="I34" i="3" s="1"/>
  <c r="J34" i="3" s="1"/>
  <c r="K34" i="3" s="1"/>
  <c r="L34" i="3" s="1"/>
  <c r="B33" i="3"/>
  <c r="C33" i="3" s="1"/>
  <c r="D33" i="3" s="1"/>
  <c r="E33" i="3" s="1"/>
  <c r="F33" i="3" s="1"/>
  <c r="G33" i="3" s="1"/>
  <c r="H33" i="3" s="1"/>
  <c r="I33" i="3" s="1"/>
  <c r="J33" i="3" s="1"/>
  <c r="K33" i="3" s="1"/>
  <c r="L33" i="3" s="1"/>
  <c r="C39" i="1"/>
  <c r="C33" i="1"/>
  <c r="C42" i="1"/>
  <c r="C41" i="1"/>
  <c r="C40" i="1"/>
  <c r="C38" i="1"/>
  <c r="C84" i="1"/>
  <c r="D84" i="1" s="1"/>
  <c r="E84" i="1" s="1"/>
  <c r="F84" i="1" s="1"/>
  <c r="G84" i="1" s="1"/>
  <c r="C83" i="1"/>
  <c r="C82" i="1"/>
  <c r="D82" i="1" s="1"/>
  <c r="C63" i="1"/>
  <c r="C45" i="1"/>
  <c r="C46" i="1"/>
  <c r="C47" i="1"/>
  <c r="C48" i="1"/>
  <c r="C49" i="1"/>
  <c r="C65" i="1"/>
  <c r="C67" i="1"/>
  <c r="C69" i="1"/>
  <c r="C71" i="1"/>
  <c r="C72" i="1"/>
  <c r="C74" i="1"/>
  <c r="C75" i="1"/>
  <c r="C76" i="1"/>
  <c r="B35" i="1"/>
  <c r="B34" i="1"/>
  <c r="B33" i="1"/>
  <c r="B11" i="2"/>
  <c r="A11" i="2"/>
  <c r="P2" i="2"/>
  <c r="H39" i="4" l="1"/>
  <c r="G54" i="4"/>
  <c r="G78" i="4" s="1"/>
  <c r="F53" i="4"/>
  <c r="G38" i="4"/>
  <c r="F57" i="4"/>
  <c r="F81" i="4" s="1"/>
  <c r="G42" i="4"/>
  <c r="F55" i="4"/>
  <c r="F79" i="4" s="1"/>
  <c r="G40" i="4"/>
  <c r="D59" i="4"/>
  <c r="D77" i="4"/>
  <c r="E78" i="4"/>
  <c r="F54" i="4"/>
  <c r="F78" i="4" s="1"/>
  <c r="E56" i="4"/>
  <c r="E80" i="4" s="1"/>
  <c r="F41" i="4"/>
  <c r="E55" i="4"/>
  <c r="E79" i="4" s="1"/>
  <c r="F82" i="4"/>
  <c r="B98" i="4"/>
  <c r="F63" i="4"/>
  <c r="B96" i="4"/>
  <c r="C59" i="4"/>
  <c r="I53" i="3"/>
  <c r="J38" i="3"/>
  <c r="D56" i="3"/>
  <c r="D80" i="3" s="1"/>
  <c r="E41" i="3"/>
  <c r="E54" i="3"/>
  <c r="E78" i="3" s="1"/>
  <c r="D63" i="3"/>
  <c r="D42" i="3"/>
  <c r="C56" i="3"/>
  <c r="C80" i="3" s="1"/>
  <c r="B96" i="3"/>
  <c r="B98" i="3"/>
  <c r="H53" i="3"/>
  <c r="E53" i="3"/>
  <c r="D47" i="3"/>
  <c r="E47" i="3" s="1"/>
  <c r="F47" i="3" s="1"/>
  <c r="G47" i="3" s="1"/>
  <c r="H47" i="3" s="1"/>
  <c r="I47" i="3" s="1"/>
  <c r="J47" i="3" s="1"/>
  <c r="K47" i="3" s="1"/>
  <c r="L47" i="3" s="1"/>
  <c r="F53" i="3"/>
  <c r="D82" i="3"/>
  <c r="G53" i="3"/>
  <c r="F54" i="3"/>
  <c r="F78" i="3" s="1"/>
  <c r="G39" i="3"/>
  <c r="G40" i="3"/>
  <c r="C54" i="3"/>
  <c r="C78" i="3" s="1"/>
  <c r="D54" i="3"/>
  <c r="D78" i="3" s="1"/>
  <c r="D39" i="1"/>
  <c r="E39" i="1" s="1"/>
  <c r="F39" i="1" s="1"/>
  <c r="D41" i="1"/>
  <c r="E41" i="1" s="1"/>
  <c r="F41" i="1" s="1"/>
  <c r="G41" i="1" s="1"/>
  <c r="H41" i="1" s="1"/>
  <c r="C34" i="1"/>
  <c r="D34" i="1" s="1"/>
  <c r="E34" i="1" s="1"/>
  <c r="F34" i="1" s="1"/>
  <c r="D42" i="1"/>
  <c r="E42" i="1" s="1"/>
  <c r="F42" i="1" s="1"/>
  <c r="C57" i="1"/>
  <c r="C81" i="1" s="1"/>
  <c r="C56" i="1"/>
  <c r="C80" i="1" s="1"/>
  <c r="D33" i="1"/>
  <c r="E33" i="1" s="1"/>
  <c r="F33" i="1" s="1"/>
  <c r="G33" i="1" s="1"/>
  <c r="H33" i="1" s="1"/>
  <c r="I33" i="1" s="1"/>
  <c r="J33" i="1" s="1"/>
  <c r="K33" i="1" s="1"/>
  <c r="L33" i="1" s="1"/>
  <c r="D83" i="1"/>
  <c r="E83" i="1" s="1"/>
  <c r="F83" i="1" s="1"/>
  <c r="G83" i="1" s="1"/>
  <c r="C93" i="1"/>
  <c r="D63" i="1"/>
  <c r="D49" i="1"/>
  <c r="E49" i="1" s="1"/>
  <c r="F49" i="1" s="1"/>
  <c r="G49" i="1" s="1"/>
  <c r="H49" i="1" s="1"/>
  <c r="I49" i="1" s="1"/>
  <c r="J49" i="1" s="1"/>
  <c r="K49" i="1" s="1"/>
  <c r="L49" i="1" s="1"/>
  <c r="D67" i="1"/>
  <c r="E67" i="1" s="1"/>
  <c r="F67" i="1" s="1"/>
  <c r="G67" i="1" s="1"/>
  <c r="H67" i="1" s="1"/>
  <c r="I67" i="1" s="1"/>
  <c r="J67" i="1" s="1"/>
  <c r="K67" i="1" s="1"/>
  <c r="L67" i="1" s="1"/>
  <c r="D72" i="1"/>
  <c r="E72" i="1" s="1"/>
  <c r="F72" i="1" s="1"/>
  <c r="G72" i="1" s="1"/>
  <c r="H72" i="1" s="1"/>
  <c r="I72" i="1" s="1"/>
  <c r="J72" i="1" s="1"/>
  <c r="K72" i="1" s="1"/>
  <c r="L72" i="1" s="1"/>
  <c r="D47" i="1"/>
  <c r="E47" i="1" s="1"/>
  <c r="F47" i="1" s="1"/>
  <c r="G47" i="1" s="1"/>
  <c r="H47" i="1" s="1"/>
  <c r="I47" i="1" s="1"/>
  <c r="J47" i="1" s="1"/>
  <c r="K47" i="1" s="1"/>
  <c r="L47" i="1" s="1"/>
  <c r="D74" i="1"/>
  <c r="E74" i="1" s="1"/>
  <c r="F74" i="1" s="1"/>
  <c r="G74" i="1" s="1"/>
  <c r="H74" i="1" s="1"/>
  <c r="I74" i="1" s="1"/>
  <c r="J74" i="1" s="1"/>
  <c r="K74" i="1" s="1"/>
  <c r="L74" i="1" s="1"/>
  <c r="D76" i="1"/>
  <c r="E76" i="1" s="1"/>
  <c r="F76" i="1" s="1"/>
  <c r="G76" i="1" s="1"/>
  <c r="H76" i="1" s="1"/>
  <c r="I76" i="1" s="1"/>
  <c r="J76" i="1" s="1"/>
  <c r="K76" i="1" s="1"/>
  <c r="L76" i="1" s="1"/>
  <c r="D45" i="1"/>
  <c r="E45" i="1" s="1"/>
  <c r="F45" i="1" s="1"/>
  <c r="G45" i="1" s="1"/>
  <c r="H45" i="1" s="1"/>
  <c r="I45" i="1" s="1"/>
  <c r="J45" i="1" s="1"/>
  <c r="K45" i="1" s="1"/>
  <c r="L45" i="1" s="1"/>
  <c r="D71" i="1"/>
  <c r="E71" i="1" s="1"/>
  <c r="F71" i="1" s="1"/>
  <c r="G71" i="1" s="1"/>
  <c r="H71" i="1" s="1"/>
  <c r="I71" i="1" s="1"/>
  <c r="J71" i="1" s="1"/>
  <c r="K71" i="1" s="1"/>
  <c r="L71" i="1" s="1"/>
  <c r="D65" i="1"/>
  <c r="E65" i="1" s="1"/>
  <c r="F65" i="1" s="1"/>
  <c r="G65" i="1" s="1"/>
  <c r="H65" i="1" s="1"/>
  <c r="I65" i="1" s="1"/>
  <c r="J65" i="1" s="1"/>
  <c r="K65" i="1" s="1"/>
  <c r="L65" i="1" s="1"/>
  <c r="D48" i="1"/>
  <c r="D69" i="1"/>
  <c r="E69" i="1" s="1"/>
  <c r="F69" i="1" s="1"/>
  <c r="G69" i="1" s="1"/>
  <c r="H69" i="1" s="1"/>
  <c r="I69" i="1" s="1"/>
  <c r="J69" i="1" s="1"/>
  <c r="K69" i="1" s="1"/>
  <c r="L69" i="1" s="1"/>
  <c r="D46" i="1"/>
  <c r="E46" i="1" s="1"/>
  <c r="F46" i="1" s="1"/>
  <c r="G46" i="1" s="1"/>
  <c r="H46" i="1" s="1"/>
  <c r="I46" i="1" s="1"/>
  <c r="J46" i="1" s="1"/>
  <c r="K46" i="1" s="1"/>
  <c r="L46" i="1" s="1"/>
  <c r="C35" i="1"/>
  <c r="D35" i="1" s="1"/>
  <c r="E35" i="1" s="1"/>
  <c r="F35" i="1" s="1"/>
  <c r="G35" i="1" s="1"/>
  <c r="H35" i="1" s="1"/>
  <c r="I35" i="1" s="1"/>
  <c r="J35" i="1" s="1"/>
  <c r="K35" i="1" s="1"/>
  <c r="L35" i="1" s="1"/>
  <c r="D75" i="1"/>
  <c r="E75" i="1" s="1"/>
  <c r="F75" i="1" s="1"/>
  <c r="G75" i="1" s="1"/>
  <c r="H75" i="1" s="1"/>
  <c r="I75" i="1" s="1"/>
  <c r="J75" i="1" s="1"/>
  <c r="K75" i="1" s="1"/>
  <c r="L75" i="1" s="1"/>
  <c r="D40" i="1"/>
  <c r="C55" i="1"/>
  <c r="C79" i="1" s="1"/>
  <c r="E82" i="1"/>
  <c r="D38" i="1"/>
  <c r="C53" i="1"/>
  <c r="B92" i="1"/>
  <c r="B95" i="1" s="1"/>
  <c r="C54" i="1"/>
  <c r="C78" i="1" s="1"/>
  <c r="D70" i="4" l="1"/>
  <c r="D66" i="4"/>
  <c r="D73" i="4"/>
  <c r="D68" i="4"/>
  <c r="D64" i="4"/>
  <c r="H54" i="4"/>
  <c r="H78" i="4" s="1"/>
  <c r="I39" i="4"/>
  <c r="F56" i="4"/>
  <c r="F80" i="4" s="1"/>
  <c r="G41" i="4"/>
  <c r="G55" i="4"/>
  <c r="G79" i="4" s="1"/>
  <c r="H40" i="4"/>
  <c r="F93" i="4"/>
  <c r="G82" i="4"/>
  <c r="C70" i="4"/>
  <c r="C66" i="4"/>
  <c r="C73" i="4"/>
  <c r="C68" i="4"/>
  <c r="C64" i="4"/>
  <c r="H42" i="4"/>
  <c r="G57" i="4"/>
  <c r="G81" i="4" s="1"/>
  <c r="G63" i="4"/>
  <c r="E59" i="4"/>
  <c r="H38" i="4"/>
  <c r="G53" i="4"/>
  <c r="F77" i="4"/>
  <c r="E77" i="3"/>
  <c r="G77" i="3"/>
  <c r="H77" i="3"/>
  <c r="E56" i="3"/>
  <c r="E80" i="3" s="1"/>
  <c r="F41" i="3"/>
  <c r="D93" i="3"/>
  <c r="E82" i="3"/>
  <c r="E55" i="3"/>
  <c r="E79" i="3" s="1"/>
  <c r="F77" i="3"/>
  <c r="H39" i="3"/>
  <c r="G54" i="3"/>
  <c r="G78" i="3" s="1"/>
  <c r="D55" i="3"/>
  <c r="D79" i="3" s="1"/>
  <c r="D57" i="3"/>
  <c r="D81" i="3" s="1"/>
  <c r="E42" i="3"/>
  <c r="J53" i="3"/>
  <c r="K38" i="3"/>
  <c r="D59" i="3"/>
  <c r="G55" i="3"/>
  <c r="G79" i="3" s="1"/>
  <c r="H40" i="3"/>
  <c r="F55" i="3"/>
  <c r="F79" i="3" s="1"/>
  <c r="C59" i="3"/>
  <c r="E63" i="3"/>
  <c r="I77" i="3"/>
  <c r="D57" i="1"/>
  <c r="D81" i="1" s="1"/>
  <c r="E57" i="1"/>
  <c r="E81" i="1" s="1"/>
  <c r="D93" i="1"/>
  <c r="I41" i="1"/>
  <c r="G39" i="1"/>
  <c r="F54" i="1"/>
  <c r="F78" i="1" s="1"/>
  <c r="E48" i="1"/>
  <c r="D56" i="1"/>
  <c r="D80" i="1" s="1"/>
  <c r="E54" i="1"/>
  <c r="E78" i="1" s="1"/>
  <c r="D54" i="1"/>
  <c r="D78" i="1" s="1"/>
  <c r="C59" i="1"/>
  <c r="C77" i="1"/>
  <c r="E63" i="1"/>
  <c r="F57" i="1"/>
  <c r="F81" i="1" s="1"/>
  <c r="G42" i="1"/>
  <c r="D53" i="1"/>
  <c r="E38" i="1"/>
  <c r="E40" i="1"/>
  <c r="D55" i="1"/>
  <c r="D79" i="1" s="1"/>
  <c r="B96" i="1"/>
  <c r="B98" i="1"/>
  <c r="B97" i="1"/>
  <c r="F82" i="1"/>
  <c r="E93" i="1"/>
  <c r="G34" i="1"/>
  <c r="H63" i="4" l="1"/>
  <c r="J39" i="4"/>
  <c r="I54" i="4"/>
  <c r="I78" i="4" s="1"/>
  <c r="G56" i="4"/>
  <c r="G80" i="4" s="1"/>
  <c r="H41" i="4"/>
  <c r="E73" i="4"/>
  <c r="E70" i="4"/>
  <c r="E68" i="4"/>
  <c r="E64" i="4"/>
  <c r="E66" i="4"/>
  <c r="G93" i="4"/>
  <c r="H82" i="4"/>
  <c r="D86" i="4"/>
  <c r="D88" i="4" s="1"/>
  <c r="F59" i="4"/>
  <c r="I42" i="4"/>
  <c r="H57" i="4"/>
  <c r="H81" i="4" s="1"/>
  <c r="I38" i="4"/>
  <c r="H53" i="4"/>
  <c r="C86" i="4"/>
  <c r="C88" i="4" s="1"/>
  <c r="H55" i="4"/>
  <c r="H79" i="4" s="1"/>
  <c r="I40" i="4"/>
  <c r="G77" i="4"/>
  <c r="G59" i="4"/>
  <c r="H54" i="3"/>
  <c r="I39" i="3"/>
  <c r="D73" i="3"/>
  <c r="D68" i="3"/>
  <c r="D64" i="3"/>
  <c r="D70" i="3"/>
  <c r="D66" i="3"/>
  <c r="F42" i="3"/>
  <c r="E57" i="3"/>
  <c r="E81" i="3" s="1"/>
  <c r="E93" i="3"/>
  <c r="F82" i="3"/>
  <c r="F63" i="3"/>
  <c r="K53" i="3"/>
  <c r="L38" i="3"/>
  <c r="L53" i="3" s="1"/>
  <c r="J77" i="3"/>
  <c r="C73" i="3"/>
  <c r="C66" i="3"/>
  <c r="C64" i="3"/>
  <c r="C70" i="3"/>
  <c r="C68" i="3"/>
  <c r="F56" i="3"/>
  <c r="G41" i="3"/>
  <c r="H55" i="3"/>
  <c r="H79" i="3" s="1"/>
  <c r="I40" i="3"/>
  <c r="E59" i="3"/>
  <c r="F93" i="1"/>
  <c r="G82" i="1"/>
  <c r="G57" i="1"/>
  <c r="G81" i="1" s="1"/>
  <c r="H42" i="1"/>
  <c r="F48" i="1"/>
  <c r="E56" i="1"/>
  <c r="E80" i="1" s="1"/>
  <c r="H39" i="1"/>
  <c r="G54" i="1"/>
  <c r="G78" i="1" s="1"/>
  <c r="E53" i="1"/>
  <c r="F38" i="1"/>
  <c r="D77" i="1"/>
  <c r="D59" i="1"/>
  <c r="F63" i="1"/>
  <c r="F40" i="1"/>
  <c r="E55" i="1"/>
  <c r="E79" i="1" s="1"/>
  <c r="C64" i="1"/>
  <c r="C68" i="1"/>
  <c r="C73" i="1"/>
  <c r="C70" i="1"/>
  <c r="C66" i="1"/>
  <c r="J41" i="1"/>
  <c r="H34" i="1"/>
  <c r="G68" i="4" l="1"/>
  <c r="G64" i="4"/>
  <c r="G86" i="4" s="1"/>
  <c r="G73" i="4"/>
  <c r="G70" i="4"/>
  <c r="G66" i="4"/>
  <c r="G88" i="4"/>
  <c r="J42" i="4"/>
  <c r="I57" i="4"/>
  <c r="I81" i="4" s="1"/>
  <c r="F73" i="4"/>
  <c r="F68" i="4"/>
  <c r="F64" i="4"/>
  <c r="F70" i="4"/>
  <c r="F66" i="4"/>
  <c r="I55" i="4"/>
  <c r="I79" i="4" s="1"/>
  <c r="J40" i="4"/>
  <c r="D89" i="4"/>
  <c r="D90" i="4"/>
  <c r="D95" i="4" s="1"/>
  <c r="I82" i="4"/>
  <c r="H93" i="4"/>
  <c r="C89" i="4"/>
  <c r="C90" i="4"/>
  <c r="C95" i="4" s="1"/>
  <c r="I63" i="4"/>
  <c r="H56" i="4"/>
  <c r="H80" i="4" s="1"/>
  <c r="I41" i="4"/>
  <c r="H77" i="4"/>
  <c r="J38" i="4"/>
  <c r="I53" i="4"/>
  <c r="E86" i="4"/>
  <c r="E88" i="4" s="1"/>
  <c r="J54" i="4"/>
  <c r="J78" i="4" s="1"/>
  <c r="K39" i="4"/>
  <c r="E68" i="3"/>
  <c r="E64" i="3"/>
  <c r="E70" i="3"/>
  <c r="E66" i="3"/>
  <c r="E73" i="3"/>
  <c r="J40" i="3"/>
  <c r="I55" i="3"/>
  <c r="I79" i="3" s="1"/>
  <c r="G82" i="3"/>
  <c r="F93" i="3"/>
  <c r="K77" i="3"/>
  <c r="D86" i="3"/>
  <c r="D88" i="3" s="1"/>
  <c r="H41" i="3"/>
  <c r="G56" i="3"/>
  <c r="I54" i="3"/>
  <c r="J39" i="3"/>
  <c r="C86" i="3"/>
  <c r="C88" i="3" s="1"/>
  <c r="G63" i="3"/>
  <c r="F80" i="3"/>
  <c r="F59" i="3"/>
  <c r="L77" i="3"/>
  <c r="G42" i="3"/>
  <c r="F57" i="3"/>
  <c r="F81" i="3" s="1"/>
  <c r="H78" i="3"/>
  <c r="G48" i="1"/>
  <c r="F56" i="1"/>
  <c r="F80" i="1" s="1"/>
  <c r="I39" i="1"/>
  <c r="H54" i="1"/>
  <c r="H78" i="1" s="1"/>
  <c r="H57" i="1"/>
  <c r="H81" i="1" s="1"/>
  <c r="I42" i="1"/>
  <c r="D73" i="1"/>
  <c r="D68" i="1"/>
  <c r="D70" i="1"/>
  <c r="D64" i="1"/>
  <c r="D66" i="1"/>
  <c r="E59" i="1"/>
  <c r="E77" i="1"/>
  <c r="F53" i="1"/>
  <c r="G38" i="1"/>
  <c r="K41" i="1"/>
  <c r="G93" i="1"/>
  <c r="H82" i="1"/>
  <c r="G63" i="1"/>
  <c r="C86" i="1"/>
  <c r="C88" i="1" s="1"/>
  <c r="F55" i="1"/>
  <c r="F79" i="1" s="1"/>
  <c r="G40" i="1"/>
  <c r="I34" i="1"/>
  <c r="J41" i="4" l="1"/>
  <c r="I56" i="4"/>
  <c r="I80" i="4" s="1"/>
  <c r="D96" i="4"/>
  <c r="D97" i="4"/>
  <c r="D98" i="4"/>
  <c r="K54" i="4"/>
  <c r="K78" i="4" s="1"/>
  <c r="L39" i="4"/>
  <c r="L54" i="4" s="1"/>
  <c r="L78" i="4" s="1"/>
  <c r="J63" i="4"/>
  <c r="J55" i="4"/>
  <c r="J79" i="4" s="1"/>
  <c r="K40" i="4"/>
  <c r="E89" i="4"/>
  <c r="E90" i="4" s="1"/>
  <c r="E95" i="4" s="1"/>
  <c r="J57" i="4"/>
  <c r="J81" i="4" s="1"/>
  <c r="K42" i="4"/>
  <c r="I59" i="4"/>
  <c r="I77" i="4"/>
  <c r="C97" i="4"/>
  <c r="C96" i="4"/>
  <c r="C98" i="4"/>
  <c r="G89" i="4"/>
  <c r="G90" i="4" s="1"/>
  <c r="J53" i="4"/>
  <c r="K38" i="4"/>
  <c r="F86" i="4"/>
  <c r="F88" i="4" s="1"/>
  <c r="H59" i="4"/>
  <c r="J82" i="4"/>
  <c r="I93" i="4"/>
  <c r="I78" i="3"/>
  <c r="F68" i="3"/>
  <c r="F64" i="3"/>
  <c r="F70" i="3"/>
  <c r="F66" i="3"/>
  <c r="F73" i="3"/>
  <c r="D89" i="3"/>
  <c r="D90" i="3" s="1"/>
  <c r="D95" i="3" s="1"/>
  <c r="H63" i="3"/>
  <c r="I41" i="3"/>
  <c r="H56" i="3"/>
  <c r="G80" i="3"/>
  <c r="E86" i="3"/>
  <c r="E88" i="3" s="1"/>
  <c r="K40" i="3"/>
  <c r="J55" i="3"/>
  <c r="J79" i="3" s="1"/>
  <c r="C89" i="3"/>
  <c r="C90" i="3" s="1"/>
  <c r="C95" i="3" s="1"/>
  <c r="H42" i="3"/>
  <c r="G57" i="3"/>
  <c r="G81" i="3" s="1"/>
  <c r="J54" i="3"/>
  <c r="K39" i="3"/>
  <c r="H82" i="3"/>
  <c r="G93" i="3"/>
  <c r="C89" i="1"/>
  <c r="C90" i="1" s="1"/>
  <c r="C95" i="1" s="1"/>
  <c r="H63" i="1"/>
  <c r="H38" i="1"/>
  <c r="G53" i="1"/>
  <c r="J42" i="1"/>
  <c r="I57" i="1"/>
  <c r="I81" i="1" s="1"/>
  <c r="D86" i="1"/>
  <c r="D88" i="1" s="1"/>
  <c r="J39" i="1"/>
  <c r="I54" i="1"/>
  <c r="I78" i="1" s="1"/>
  <c r="F77" i="1"/>
  <c r="F59" i="1"/>
  <c r="E73" i="1"/>
  <c r="E64" i="1"/>
  <c r="E66" i="1"/>
  <c r="E70" i="1"/>
  <c r="E68" i="1"/>
  <c r="L41" i="1"/>
  <c r="H93" i="1"/>
  <c r="I82" i="1"/>
  <c r="H40" i="1"/>
  <c r="G55" i="1"/>
  <c r="G79" i="1" s="1"/>
  <c r="H48" i="1"/>
  <c r="G56" i="1"/>
  <c r="G80" i="1" s="1"/>
  <c r="J34" i="1"/>
  <c r="E96" i="4" l="1"/>
  <c r="F94" i="4"/>
  <c r="E98" i="4"/>
  <c r="E97" i="4"/>
  <c r="K57" i="4"/>
  <c r="K81" i="4" s="1"/>
  <c r="L42" i="4"/>
  <c r="L57" i="4" s="1"/>
  <c r="L81" i="4" s="1"/>
  <c r="I70" i="4"/>
  <c r="I66" i="4"/>
  <c r="I73" i="4"/>
  <c r="I68" i="4"/>
  <c r="I64" i="4"/>
  <c r="K82" i="4"/>
  <c r="J93" i="4"/>
  <c r="J59" i="4"/>
  <c r="J77" i="4"/>
  <c r="H68" i="4"/>
  <c r="H64" i="4"/>
  <c r="H70" i="4"/>
  <c r="H66" i="4"/>
  <c r="H73" i="4"/>
  <c r="L40" i="4"/>
  <c r="L55" i="4" s="1"/>
  <c r="L79" i="4" s="1"/>
  <c r="K55" i="4"/>
  <c r="K79" i="4" s="1"/>
  <c r="K63" i="4"/>
  <c r="F90" i="4"/>
  <c r="F89" i="4"/>
  <c r="K53" i="4"/>
  <c r="L38" i="4"/>
  <c r="L53" i="4" s="1"/>
  <c r="K41" i="4"/>
  <c r="J56" i="4"/>
  <c r="J80" i="4" s="1"/>
  <c r="D96" i="3"/>
  <c r="D98" i="3"/>
  <c r="D97" i="3"/>
  <c r="C96" i="3"/>
  <c r="C98" i="3"/>
  <c r="C97" i="3"/>
  <c r="H57" i="3"/>
  <c r="H81" i="3" s="1"/>
  <c r="I42" i="3"/>
  <c r="G59" i="3"/>
  <c r="J78" i="3"/>
  <c r="H80" i="3"/>
  <c r="F86" i="3"/>
  <c r="F88" i="3" s="1"/>
  <c r="I63" i="3"/>
  <c r="J41" i="3"/>
  <c r="I56" i="3"/>
  <c r="L40" i="3"/>
  <c r="L55" i="3" s="1"/>
  <c r="L79" i="3" s="1"/>
  <c r="K55" i="3"/>
  <c r="K79" i="3" s="1"/>
  <c r="I82" i="3"/>
  <c r="H93" i="3"/>
  <c r="L39" i="3"/>
  <c r="L54" i="3" s="1"/>
  <c r="K54" i="3"/>
  <c r="E89" i="3"/>
  <c r="E90" i="3" s="1"/>
  <c r="E95" i="3" s="1"/>
  <c r="E86" i="1"/>
  <c r="E88" i="1" s="1"/>
  <c r="E89" i="1" s="1"/>
  <c r="E90" i="1" s="1"/>
  <c r="E95" i="1" s="1"/>
  <c r="C96" i="1"/>
  <c r="C98" i="1"/>
  <c r="C97" i="1"/>
  <c r="I93" i="1"/>
  <c r="J82" i="1"/>
  <c r="I40" i="1"/>
  <c r="H55" i="1"/>
  <c r="H79" i="1" s="1"/>
  <c r="K42" i="1"/>
  <c r="J57" i="1"/>
  <c r="J81" i="1" s="1"/>
  <c r="H53" i="1"/>
  <c r="I38" i="1"/>
  <c r="I63" i="1"/>
  <c r="G77" i="1"/>
  <c r="G59" i="1"/>
  <c r="K39" i="1"/>
  <c r="J54" i="1"/>
  <c r="J78" i="1" s="1"/>
  <c r="F66" i="1"/>
  <c r="F70" i="1"/>
  <c r="F68" i="1"/>
  <c r="F64" i="1"/>
  <c r="F73" i="1"/>
  <c r="I48" i="1"/>
  <c r="H56" i="1"/>
  <c r="H80" i="1" s="1"/>
  <c r="D89" i="1"/>
  <c r="D90" i="1" s="1"/>
  <c r="D95" i="1" s="1"/>
  <c r="K34" i="1"/>
  <c r="J70" i="4" l="1"/>
  <c r="J66" i="4"/>
  <c r="J64" i="4"/>
  <c r="J73" i="4"/>
  <c r="J68" i="4"/>
  <c r="L82" i="4"/>
  <c r="L93" i="4" s="1"/>
  <c r="K93" i="4"/>
  <c r="L63" i="4"/>
  <c r="H86" i="4"/>
  <c r="H88" i="4" s="1"/>
  <c r="I86" i="4"/>
  <c r="I88" i="4" s="1"/>
  <c r="K77" i="4"/>
  <c r="L41" i="4"/>
  <c r="L56" i="4" s="1"/>
  <c r="L80" i="4" s="1"/>
  <c r="K56" i="4"/>
  <c r="K80" i="4" s="1"/>
  <c r="L59" i="4"/>
  <c r="L77" i="4"/>
  <c r="G95" i="4"/>
  <c r="F95" i="4"/>
  <c r="F94" i="3"/>
  <c r="E98" i="3"/>
  <c r="E97" i="3"/>
  <c r="E96" i="3"/>
  <c r="L78" i="3"/>
  <c r="H59" i="3"/>
  <c r="I80" i="3"/>
  <c r="G70" i="3"/>
  <c r="G64" i="3"/>
  <c r="G68" i="3"/>
  <c r="G73" i="3"/>
  <c r="G66" i="3"/>
  <c r="F89" i="3"/>
  <c r="F90" i="3" s="1"/>
  <c r="J82" i="3"/>
  <c r="I93" i="3"/>
  <c r="J56" i="3"/>
  <c r="K41" i="3"/>
  <c r="K78" i="3"/>
  <c r="J63" i="3"/>
  <c r="J42" i="3"/>
  <c r="I57" i="3"/>
  <c r="I81" i="3" s="1"/>
  <c r="E98" i="1"/>
  <c r="F94" i="1"/>
  <c r="E96" i="1"/>
  <c r="E97" i="1"/>
  <c r="J93" i="1"/>
  <c r="K82" i="1"/>
  <c r="J63" i="1"/>
  <c r="D98" i="1"/>
  <c r="D97" i="1"/>
  <c r="D96" i="1"/>
  <c r="H77" i="1"/>
  <c r="H59" i="1"/>
  <c r="J48" i="1"/>
  <c r="I56" i="1"/>
  <c r="I80" i="1" s="1"/>
  <c r="K54" i="1"/>
  <c r="K78" i="1" s="1"/>
  <c r="L39" i="1"/>
  <c r="L54" i="1" s="1"/>
  <c r="L78" i="1" s="1"/>
  <c r="F86" i="1"/>
  <c r="F88" i="1" s="1"/>
  <c r="I53" i="1"/>
  <c r="J38" i="1"/>
  <c r="L42" i="1"/>
  <c r="L57" i="1" s="1"/>
  <c r="L81" i="1" s="1"/>
  <c r="K57" i="1"/>
  <c r="K81" i="1" s="1"/>
  <c r="G66" i="1"/>
  <c r="G68" i="1"/>
  <c r="G73" i="1"/>
  <c r="G70" i="1"/>
  <c r="G64" i="1"/>
  <c r="I55" i="1"/>
  <c r="I79" i="1" s="1"/>
  <c r="J40" i="1"/>
  <c r="L34" i="1"/>
  <c r="I89" i="4" l="1"/>
  <c r="I90" i="4" s="1"/>
  <c r="L70" i="4"/>
  <c r="L66" i="4"/>
  <c r="L73" i="4"/>
  <c r="L68" i="4"/>
  <c r="L64" i="4"/>
  <c r="L86" i="4" s="1"/>
  <c r="L88" i="4" s="1"/>
  <c r="F96" i="4"/>
  <c r="F98" i="4"/>
  <c r="F97" i="4"/>
  <c r="G98" i="4"/>
  <c r="G97" i="4"/>
  <c r="G96" i="4"/>
  <c r="K59" i="4"/>
  <c r="H89" i="4"/>
  <c r="H90" i="4" s="1"/>
  <c r="H95" i="4" s="1"/>
  <c r="J86" i="4"/>
  <c r="J88" i="4" s="1"/>
  <c r="I59" i="3"/>
  <c r="G86" i="3"/>
  <c r="G88" i="3" s="1"/>
  <c r="J80" i="3"/>
  <c r="J57" i="3"/>
  <c r="J81" i="3" s="1"/>
  <c r="K42" i="3"/>
  <c r="K63" i="3"/>
  <c r="H66" i="3"/>
  <c r="H70" i="3"/>
  <c r="H73" i="3"/>
  <c r="H64" i="3"/>
  <c r="H68" i="3"/>
  <c r="J93" i="3"/>
  <c r="K82" i="3"/>
  <c r="L41" i="3"/>
  <c r="L56" i="3" s="1"/>
  <c r="K56" i="3"/>
  <c r="G95" i="3"/>
  <c r="F95" i="3"/>
  <c r="I94" i="3"/>
  <c r="J95" i="3"/>
  <c r="I95" i="3"/>
  <c r="H95" i="3"/>
  <c r="L94" i="3"/>
  <c r="G86" i="1"/>
  <c r="G88" i="1" s="1"/>
  <c r="G89" i="1" s="1"/>
  <c r="G90" i="1" s="1"/>
  <c r="G95" i="1" s="1"/>
  <c r="K48" i="1"/>
  <c r="J56" i="1"/>
  <c r="J80" i="1" s="1"/>
  <c r="K63" i="1"/>
  <c r="F89" i="1"/>
  <c r="F90" i="1" s="1"/>
  <c r="F95" i="1" s="1"/>
  <c r="H70" i="1"/>
  <c r="H66" i="1"/>
  <c r="H68" i="1"/>
  <c r="H73" i="1"/>
  <c r="H64" i="1"/>
  <c r="I77" i="1"/>
  <c r="I59" i="1"/>
  <c r="K38" i="1"/>
  <c r="J53" i="1"/>
  <c r="L82" i="1"/>
  <c r="L93" i="1" s="1"/>
  <c r="K93" i="1"/>
  <c r="J55" i="1"/>
  <c r="J79" i="1" s="1"/>
  <c r="K40" i="1"/>
  <c r="H98" i="4" l="1"/>
  <c r="H97" i="4"/>
  <c r="H96" i="4"/>
  <c r="I94" i="4"/>
  <c r="L89" i="4"/>
  <c r="L90" i="4"/>
  <c r="K66" i="4"/>
  <c r="K70" i="4"/>
  <c r="K73" i="4"/>
  <c r="K68" i="4"/>
  <c r="K64" i="4"/>
  <c r="J89" i="4"/>
  <c r="J90" i="4" s="1"/>
  <c r="H97" i="3"/>
  <c r="H96" i="3"/>
  <c r="H98" i="3"/>
  <c r="L63" i="3"/>
  <c r="F98" i="3"/>
  <c r="F97" i="3"/>
  <c r="F96" i="3"/>
  <c r="J59" i="3"/>
  <c r="I97" i="3"/>
  <c r="I96" i="3"/>
  <c r="I98" i="3"/>
  <c r="K57" i="3"/>
  <c r="K81" i="3" s="1"/>
  <c r="L42" i="3"/>
  <c r="L57" i="3" s="1"/>
  <c r="L81" i="3" s="1"/>
  <c r="G97" i="3"/>
  <c r="G96" i="3"/>
  <c r="G98" i="3"/>
  <c r="K93" i="3"/>
  <c r="L82" i="3"/>
  <c r="L93" i="3" s="1"/>
  <c r="L95" i="3"/>
  <c r="J96" i="3"/>
  <c r="J98" i="3"/>
  <c r="K95" i="3"/>
  <c r="J97" i="3"/>
  <c r="H86" i="3"/>
  <c r="H88" i="3" s="1"/>
  <c r="K80" i="3"/>
  <c r="G89" i="3"/>
  <c r="G90" i="3" s="1"/>
  <c r="L80" i="3"/>
  <c r="L59" i="3"/>
  <c r="I70" i="3"/>
  <c r="I66" i="3"/>
  <c r="I73" i="3"/>
  <c r="I68" i="3"/>
  <c r="I64" i="3"/>
  <c r="I86" i="3" s="1"/>
  <c r="I88" i="3" s="1"/>
  <c r="H86" i="1"/>
  <c r="H88" i="1" s="1"/>
  <c r="H89" i="1" s="1"/>
  <c r="H90" i="1" s="1"/>
  <c r="H95" i="1" s="1"/>
  <c r="F96" i="1"/>
  <c r="F98" i="1"/>
  <c r="F97" i="1"/>
  <c r="L63" i="1"/>
  <c r="G98" i="1"/>
  <c r="G96" i="1"/>
  <c r="G97" i="1"/>
  <c r="I73" i="1"/>
  <c r="I66" i="1"/>
  <c r="I68" i="1"/>
  <c r="I70" i="1"/>
  <c r="I64" i="1"/>
  <c r="L48" i="1"/>
  <c r="L56" i="1" s="1"/>
  <c r="L80" i="1" s="1"/>
  <c r="K56" i="1"/>
  <c r="K80" i="1" s="1"/>
  <c r="K55" i="1"/>
  <c r="K79" i="1" s="1"/>
  <c r="L40" i="1"/>
  <c r="L55" i="1" s="1"/>
  <c r="L79" i="1" s="1"/>
  <c r="J77" i="1"/>
  <c r="J59" i="1"/>
  <c r="L38" i="1"/>
  <c r="L53" i="1" s="1"/>
  <c r="K53" i="1"/>
  <c r="K86" i="4" l="1"/>
  <c r="K88" i="4" s="1"/>
  <c r="I95" i="4"/>
  <c r="J95" i="4"/>
  <c r="I89" i="3"/>
  <c r="I90" i="3"/>
  <c r="L73" i="3"/>
  <c r="L68" i="3"/>
  <c r="L86" i="3" s="1"/>
  <c r="L88" i="3" s="1"/>
  <c r="L64" i="3"/>
  <c r="L70" i="3"/>
  <c r="L66" i="3"/>
  <c r="K59" i="3"/>
  <c r="L96" i="3"/>
  <c r="B101" i="3" s="1"/>
  <c r="L98" i="3"/>
  <c r="L97" i="3"/>
  <c r="B102" i="3" s="1"/>
  <c r="H89" i="3"/>
  <c r="H90" i="3" s="1"/>
  <c r="J70" i="3"/>
  <c r="J66" i="3"/>
  <c r="J73" i="3"/>
  <c r="J68" i="3"/>
  <c r="J64" i="3"/>
  <c r="J86" i="3" s="1"/>
  <c r="J88" i="3" s="1"/>
  <c r="K96" i="3"/>
  <c r="K98" i="3"/>
  <c r="B103" i="3" s="1"/>
  <c r="K97" i="3"/>
  <c r="B100" i="3"/>
  <c r="I86" i="1"/>
  <c r="I88" i="1" s="1"/>
  <c r="I89" i="1" s="1"/>
  <c r="I90" i="1" s="1"/>
  <c r="L59" i="1"/>
  <c r="L77" i="1"/>
  <c r="J68" i="1"/>
  <c r="J73" i="1"/>
  <c r="J66" i="1"/>
  <c r="J70" i="1"/>
  <c r="J64" i="1"/>
  <c r="H96" i="1"/>
  <c r="H98" i="1"/>
  <c r="H97" i="1"/>
  <c r="I94" i="1"/>
  <c r="K59" i="1"/>
  <c r="K77" i="1"/>
  <c r="I97" i="4" l="1"/>
  <c r="I96" i="4"/>
  <c r="I98" i="4"/>
  <c r="J97" i="4"/>
  <c r="J96" i="4"/>
  <c r="J98" i="4"/>
  <c r="K89" i="4"/>
  <c r="K90" i="4"/>
  <c r="K95" i="4" s="1"/>
  <c r="L89" i="3"/>
  <c r="L90" i="3" s="1"/>
  <c r="J89" i="3"/>
  <c r="J90" i="3"/>
  <c r="K73" i="3"/>
  <c r="K70" i="3"/>
  <c r="K68" i="3"/>
  <c r="K66" i="3"/>
  <c r="K64" i="3"/>
  <c r="I95" i="1"/>
  <c r="L66" i="1"/>
  <c r="L64" i="1"/>
  <c r="L73" i="1"/>
  <c r="L70" i="1"/>
  <c r="L68" i="1"/>
  <c r="K73" i="1"/>
  <c r="K66" i="1"/>
  <c r="K68" i="1"/>
  <c r="K70" i="1"/>
  <c r="K64" i="1"/>
  <c r="J86" i="1"/>
  <c r="J88" i="1" s="1"/>
  <c r="K97" i="4" l="1"/>
  <c r="K96" i="4"/>
  <c r="K98" i="4"/>
  <c r="L94" i="4"/>
  <c r="L95" i="4" s="1"/>
  <c r="K86" i="3"/>
  <c r="K88" i="3" s="1"/>
  <c r="K86" i="1"/>
  <c r="K88" i="1" s="1"/>
  <c r="K89" i="1" s="1"/>
  <c r="K90" i="1" s="1"/>
  <c r="J89" i="1"/>
  <c r="J90" i="1" s="1"/>
  <c r="J95" i="1" s="1"/>
  <c r="I98" i="1"/>
  <c r="I96" i="1"/>
  <c r="I97" i="1"/>
  <c r="L86" i="1"/>
  <c r="L88" i="1" s="1"/>
  <c r="L96" i="4" l="1"/>
  <c r="B101" i="4" s="1"/>
  <c r="L98" i="4"/>
  <c r="B103" i="4" s="1"/>
  <c r="L97" i="4"/>
  <c r="B102" i="4" s="1"/>
  <c r="B100" i="4"/>
  <c r="K89" i="3"/>
  <c r="K90" i="3"/>
  <c r="K95" i="1"/>
  <c r="L94" i="1" s="1"/>
  <c r="J96" i="1"/>
  <c r="J98" i="1"/>
  <c r="J97" i="1"/>
  <c r="L89" i="1"/>
  <c r="L90" i="1" s="1"/>
  <c r="K97" i="1" l="1"/>
  <c r="K96" i="1"/>
  <c r="L95" i="1"/>
  <c r="L98" i="1" s="1"/>
  <c r="K98" i="1"/>
  <c r="B100" i="1" l="1"/>
  <c r="L97" i="1"/>
  <c r="B102" i="1" s="1"/>
  <c r="L96" i="1"/>
  <c r="B101" i="1" s="1"/>
  <c r="B103" i="1"/>
</calcChain>
</file>

<file path=xl/sharedStrings.xml><?xml version="1.0" encoding="utf-8"?>
<sst xmlns="http://schemas.openxmlformats.org/spreadsheetml/2006/main" count="374" uniqueCount="121">
  <si>
    <t>Twin Vee Capital Budgeting Analysis</t>
  </si>
  <si>
    <t>Assumptions</t>
  </si>
  <si>
    <t>US Discount Rate</t>
  </si>
  <si>
    <t>Mexican Discount Rate</t>
  </si>
  <si>
    <t>Effective Tax Rate</t>
  </si>
  <si>
    <t>Starting Spot Rate US$/Mex$</t>
  </si>
  <si>
    <t>Random Appreciation/Depreciation</t>
  </si>
  <si>
    <t>US Nominal Interest Rate</t>
  </si>
  <si>
    <t>Mexican Nominal Interest Rate</t>
  </si>
  <si>
    <t>US Expected Inflation</t>
  </si>
  <si>
    <t>Mexican Expected Inflation</t>
  </si>
  <si>
    <t>Manufacturing Facility Price</t>
  </si>
  <si>
    <t>Boat Mold Price</t>
  </si>
  <si>
    <t>Equipment Price</t>
  </si>
  <si>
    <t>Salaries</t>
  </si>
  <si>
    <t>Bonus</t>
  </si>
  <si>
    <t>CEO</t>
  </si>
  <si>
    <t>CFO</t>
  </si>
  <si>
    <t>COO</t>
  </si>
  <si>
    <t>CMO</t>
  </si>
  <si>
    <t>Assistant</t>
  </si>
  <si>
    <t>Production Manager</t>
  </si>
  <si>
    <t>Sales Force</t>
  </si>
  <si>
    <t>Number</t>
  </si>
  <si>
    <t>Production Specialist</t>
  </si>
  <si>
    <t>Production Assistant</t>
  </si>
  <si>
    <t>10' Classic</t>
  </si>
  <si>
    <t>14' Classic</t>
  </si>
  <si>
    <t>17' Classic</t>
  </si>
  <si>
    <t>19' Classic</t>
  </si>
  <si>
    <t>22' Classic</t>
  </si>
  <si>
    <t>Price</t>
  </si>
  <si>
    <t>10' Classic Growth in Sales</t>
  </si>
  <si>
    <t>14' Classic Growth in Sales</t>
  </si>
  <si>
    <t>17' Classic Growth in Sales</t>
  </si>
  <si>
    <t>19' Classic Growth in Sales</t>
  </si>
  <si>
    <t>22' Classic Growth in Sales</t>
  </si>
  <si>
    <t>Variable Costs</t>
  </si>
  <si>
    <t>Exchange Rate Random Walk</t>
  </si>
  <si>
    <t>Exchange Rate IRP</t>
  </si>
  <si>
    <t>Exchange Rate RPPP</t>
  </si>
  <si>
    <t>Revenue</t>
  </si>
  <si>
    <t>Sales Forecast</t>
  </si>
  <si>
    <t>Boat Prices</t>
  </si>
  <si>
    <t>Total Revenue</t>
  </si>
  <si>
    <t>Expenses</t>
  </si>
  <si>
    <t>CEO Salary</t>
  </si>
  <si>
    <t>CEO Bonus</t>
  </si>
  <si>
    <t>CFO Salary</t>
  </si>
  <si>
    <t>CFO Bonus</t>
  </si>
  <si>
    <t>COO Salary</t>
  </si>
  <si>
    <t>COO Bonus</t>
  </si>
  <si>
    <t>CMO Salary</t>
  </si>
  <si>
    <t>CMO Bonus</t>
  </si>
  <si>
    <t>Sales Force Salary</t>
  </si>
  <si>
    <t>Sales Force Bonus</t>
  </si>
  <si>
    <t>Production Manager Salary</t>
  </si>
  <si>
    <t>Production Specialist Salary</t>
  </si>
  <si>
    <t>Production Assistant Salary</t>
  </si>
  <si>
    <t>10' Classic Variable Costs</t>
  </si>
  <si>
    <t>14" Classic Variable Costs</t>
  </si>
  <si>
    <t>17' Classic Variable Costs</t>
  </si>
  <si>
    <t>19' Classic Variable Costs</t>
  </si>
  <si>
    <t>22' Classic Variable Costs</t>
  </si>
  <si>
    <t>Facility Depreciation</t>
  </si>
  <si>
    <t>Boat Molds Depreciation</t>
  </si>
  <si>
    <t>Equipment Depreciation</t>
  </si>
  <si>
    <t>Facility Depreciable Base %</t>
  </si>
  <si>
    <t>Depreciation Life</t>
  </si>
  <si>
    <t>Total Expenses</t>
  </si>
  <si>
    <t>Earnings Before Taxes</t>
  </si>
  <si>
    <t>Taxes</t>
  </si>
  <si>
    <t>Net Income</t>
  </si>
  <si>
    <t>Capital Expenditures</t>
  </si>
  <si>
    <t>Depreciation</t>
  </si>
  <si>
    <t>Cash Flow MXN</t>
  </si>
  <si>
    <t>Cash Flow Random Walk</t>
  </si>
  <si>
    <t>Cash Flow IRP</t>
  </si>
  <si>
    <t>Cash Flow RPPP</t>
  </si>
  <si>
    <t>NPV Project Perspective</t>
  </si>
  <si>
    <t>NPV Parent Random Walk</t>
  </si>
  <si>
    <t>NPV Parent IRP</t>
  </si>
  <si>
    <t>NPV Parent RPPP</t>
  </si>
  <si>
    <t>Exchange Rate Forecasts</t>
  </si>
  <si>
    <t>Crystal Ball Data</t>
  </si>
  <si>
    <t>Workbook Variables</t>
  </si>
  <si>
    <t>Last Var Column</t>
  </si>
  <si>
    <t xml:space="preserve">    Name:</t>
  </si>
  <si>
    <t xml:space="preserve">    Value:</t>
  </si>
  <si>
    <t>Worksheet Data</t>
  </si>
  <si>
    <t>Last Data Column Used</t>
  </si>
  <si>
    <t>Sheet Ref</t>
  </si>
  <si>
    <t>Sheet Guid</t>
  </si>
  <si>
    <t>Deleted sheet count</t>
  </si>
  <si>
    <t>Last row used</t>
  </si>
  <si>
    <t>Data blocks</t>
  </si>
  <si>
    <t>2d99e7c0-5dbb-4ba6-aedf-e1a2880d82ba</t>
  </si>
  <si>
    <t>CB_Block_0</t>
  </si>
  <si>
    <t>Decisioneering:7.0.0.0</t>
  </si>
  <si>
    <t>a8e1cddc-456b-4b82-9631-e684e32eb7d5</t>
  </si>
  <si>
    <t>CB_Block_7.0.0.0:1</t>
  </si>
  <si>
    <t>Terminal Value</t>
  </si>
  <si>
    <t>Assistants</t>
  </si>
  <si>
    <t>2025 Sales</t>
  </si>
  <si>
    <t>2028 Value Multiple</t>
  </si>
  <si>
    <t>2031 Value Multiple</t>
  </si>
  <si>
    <t>2034 Value Multiple</t>
  </si>
  <si>
    <t>㜸〱敤㕣㕢㙣ㅣ搵ㄹ摥ㄹ敦慣㜷搶㜶㙣攲㜰〹㔷㐳戸㍢㕡攲㤰ㄴ㈸㑤㠳㉦戹ㄸ㜲㜱㘲㈷ㄴ㔱扡㡣㜷捦搸㤳散捣㥡㤹㔹㈷愶戴つ㉤㠵搲㡢㉡攸㐳ぢ愵㉤愲ㄵ㙡㔵愹ㄲ㔵㠵愰愵て㤵㉡戵慡愰敡〳㐲敡㐳㈵㡡㝡㜹㘸㔵㐵敡ぢて㐸昴晢捥捣散捥敥㝡挷捥〲慤愹㍣挹晥㌹㜳敥攷晣搷昳晦㘷㤲㔲㔲愹搴扢㜸昸㉦㥦㌴ㄳ㤷㑥㉦㜹扥戰昳攳㤵㜲㔹ㄴ㝤慢攲㜸昹㔱搷㌵㤶づ㔸㥥摦㠵ち㤹㠲㠵㜲㑦㉢㜸搶㠳㈲㕢㔸ㄴ慥㠷㑡㕡㉡㤵捤敡㉡捡搹〹㝦〳搱㡢捥㔶扤㘹㠰㤹昱戱挳戳㈷搰敢戴㕦㜱挵搶愱攳㐱摢㕤㈳㈳昹㤱晣捥㙤户㙣捦㙦摢㍡㌴㕥㉤晢㔵㔷散㜲㐴搵㜷㡤昲搶愱愹敡㙣搹㉡摥㈵㤶㘶㉡㈷㠵戳㑢捣㙥扢㜹搶搸㜱敢挸㡥㥤㍢捤摢㙥扢戵ㄷ㐳愷づ㡤㡦㑤戹挲昴摥愷㍥㌵㑥㜹挷㠴㈸㕡㕣㥢㄰慥攵捣攵挷挷昰㌷㌶㝦扣摤㤲㥦㥥ㄷ挲攷搰挲ㄵ㑥㔱㜸㍡ㅡ昶搸愳㥥㔷戵ㄷ戸㜹扡扤ㄷ㑢㉤ㅡ㥥慦搹攳愲㕣搶敤愸搷慣㝤ㄸ㝢㔷㌶㤶㝡敤㘹攱㜸㤶㙦㉤㕡晥㔲挶㥥㐱㐷愵㍥晢㤸㈷㡥ㅡ捥㥣㌸㘴搸㐲戳昷㔵慤㔲㍡㜸㔲㕤搷㐵㕤挴㈷㈶㤷㥦ㅦ昵散昱㜹挳㤵㌳昲戸㌱〹㜵昷扡挵挶扡㕢摡昷换愹换ㄱ搸攷㌵敤敢愱攴戸攱搶㙡づ户慦ㄹ㉥扥㜱〶㌷戵慦ㅦ摢愳挶㌶㌷戴㙦㈳户戲戱戶搲ㄳ搲户摣㔱㉣㐶捦㄰㜴ㄳ㘴〹㠸㐰㍤㐷搰㐳搰ぢ愰愴晦つ㉥㠹㌷㘴㤱㕡㌰搴挲慣㕡㈸慡㠵㤲㕡㄰㙡挱㔴ぢ㜳㙡㘱㕥㉤㔸㙡攱㠴㕡㌸㠹㍡搱㤳敤敥㔶挳攷慦慥昶晤愹敥㌷㈶㝦昶攳㕢捦捥㙦㜹攲㤶摥つ愸㜴㈴㥣搴㠴㙢㥣〲愹搵愹ㄸㅣ挱㍦㉢㜳〵㤸挲摣㘹摥㘲㡥㡣㤴㜶㙥㌳㙥㌶㌴㉥㉢〱昹つ㠴㌲㠰扡扤收摤㤶㔳慡㥣㤲戸扢㜴捣昰㐴㝤攳㠶挳戲戱㑡搵㈹㜹㤷㉣㕦㌸敤ㅢ扥戸戸戹慣摥㐹㑢戳㘹戰㤵昰攴㜸㤷㌷㌷㍢㙥㤴慢㘲昴戴ㄵㄴ㕦搶㔴㙣㑦戹㤵搹昶愵㝢㕤昱㐰慤戴㘵㐶愳㄰㙡㡢戲敦㤶㔵〶㐵挱扣㠶挶攷㉢㥥㜰攴昴㠶敤㈹慢㜸㔲戸搳㠲㈲㔱㤴攴㔲捦㘷㔱挸昵挳㠷ㅤ㉣ㄴ摣㕡扡㉡㥥㙢敥㌹敤㠳㤹㐵〹昳㕤㄰慥扦㌴㘳捣㤶挵〵つ㔵㠲㌱㔱戰戹㈱㝢㙦愵㔸昵挶㉢㡥敦㔶捡㡤㈵愳愵㐵〳㤲愶㜴戰㔲ㄲ改㜴㑡ち〵〸摣慥㉥㐵㐹摤搸㥥ㄷ㈴㈲㘲㈸㈶㈳㕦搴㐸㜶昹愳㔸ㅤ㔶㔱ㄶ愴㐹昵敡ㄵ㍡攳㝣愵㡣㐹攰挰搸㥡愸㍦㌸攸昵㉢㜴㕢挳摣〷㕢㔹㔵〷挳搵敦㔹ㄴ㡥扦摦㜰㑡㘵攱㈶㙡㍦㠵㌳搲晢〱戴戳㄰〸㙤㜷㡦慡㑥㌹慤㉣㘹愷慣㤲㍦㥦㤹ㄷ搶摣扣㡦㍣㘸挸㙣㤶㕢摢昲攸攷㈱㑢摦㐸㌰〸㤰换愵㌲㥢㔸㈹㤳挳㤳搲㈸㥤ㄲ㜸戹㐱㤰戳㕤〳㉦昷㥡㝢慤戲㉦〲愱摣㙦〲㈳㠱㔶㤳攸敢㈳㠹扡㐶㌱㔰ㄸ㥢捣㜱㔰愹㘱㌹晥㔲㥤㙦㕢戸㈴㈰愲㜵㔹戰收㘴〱㐵㐱愳㍣㐸攰㌵㄰㑤㤳㌴㐸慥ㅣ㈳㈲戲㐱㠲㘶㐷捦㡤㐴挶晡〹㌲〲昵攳㐴挸摡摢摡换〸ㄲ㝢㉢㤱戲㔱㕢㝥㕣㤷㘶换搹昲㠱㌴㍢ㅦㅢ愷㕦㐰㜰㈱挱㐵〴㥢〱㤴扦㐱挲㔱捡㈱摤昸攸㤷攰㕤扦㤴攰㌲〰挸㈷㥤㌲㈷ㄴ㔵戴愱㔶㘳㐷戲㕥ㅦ散㘴㘹ㄴ〷愲㠸㤶㜱捤捥散戳㈵愲㐳慢㜳㙤攸摡戴搴戱搷戶愷捤昸㜲㐸㤱〹㔵攳㙢㕤愱㙡㝣㈳㔸戵㐳扤㜵〵㥡敡㐳〴㔷〲〴㡡㠵挶敥敡慣㜹㥡㤳ㅦち㤳㈸㌰㠴㍡㔴敥㈱ㄱ搳晣㑦㄰㜰㉤㐷㤷㜵晢㤹愶攰戰昹愱户㥦户戶攷敤㄰改㑤㍡㜳㕤攷搰㔷㜴㡥ㄶ昴㔵㘰㉦攵㑦㙤昵换搵㈸搶慦㈱戸ㄶ愰㐹扦昰攴㝤慥㕥〲㘹ㄲ摢㌱捣㙤愴挷㐵㕡戸㌳㑢ぢ㐲㙡㥦㕥㜳挶㜰攷㠴て敦挵攴〴散攰㡡敢㡡㌲づ戴㈵㤹挱戳换㠵㡤㤹摥㕥户㘲㌳㝦摤㍥昶㍥ㄴ㡡㈱㥤㔶扢㔲㑤昶㜱㠲㥤ㄹ昳㌷挵㈸㠷晡昷收昶㐲㈲搶愸㤱扣搸㉥昹㙣戹㉥㐹㍡㤰㈴搷㘳㕢昵ㅢ〰㈰㈵㤴㌷摡㑡㤴㘱㔶摢㉡慢㌵㕡慢昴敥㈵㥣㑣㥡晣㠷㉤㜲愴㈷㜰搶㡥挱㜷攰昵搹搳㤶㕤ㄳㄶ㍤昶㤴㜰㡢昰㉢㔸㘵㤱ぢ㕣戲ㄴ㌵敢戲攲㐳㈲㉢扡扡㕡捥搲〹扥㌵㐹㈷㑤㔲㈲㤱摢ㄳぢㄳ捥攱㜵愲愲ぢ㤲㐲㈵挱㉤㔴㤳㐰愴㍣搶㕤ㄷ㌱ㅤ㠸㤸㍣㌶㑥扦㠹㘰ㅢ挱〸㠰昶㝢㐸㥡搵㙥㍣㐳㘱摤㡢㜴㘷ㄷち愹㉣搱㈰摤㠳慦戵ㄵ㔶㍢㌸捣㑥㠲㡦〰㌴㤹㍦㜴㍥㈶㄰愲㐴㜹㡣㄰㘹㉤改收㜱㑢㥣㈲つ㙣㌰ㄱ㔴ㅡ慦㝡㝥挵㘶㔴愹捦㥣愸ㅣ慡昸ㄳ㤶户㠰㈸搴愰ㄹ㈶敥㥥ㄷづ愸换㠵敤搳㤴㔷㔹㔸㄰㈵摤㥣慥㔴㈱摡㈶㈷搶挲愱ㅣ敢㠳㉤㈹捦攵慡㠲愷戳戳㌱扡㔰攴㠹ㄸ扥㔶㝡㘲㔷攵昹收愱慦扦扥愳㌳㤶㕦ㄶ㍤㘶挰㜴㑣㘷㑤散㈲愲〶愵㙥㜳㘶摥ㄵ㘲愲捦摣攷㕡愵戲攵〸㈲〳㌶㈶〳㜵〷挴ㅣ㈲〴㔳ㄵ挶晦㉡㑥㥦㌹攳ㅡ㡥户㘰㌰㤸戸戴戱攱㑤㠶㐴㌴㜳捣㜲㍣っ㈳戱挸㜴扦㌹㍤㕦㌹㠵㘸㙤搵㜶昶ㄹぢ摥㥡挰ち㠹㍥㜸㈴㙡ㄴ㔵㔱㔵㈵慢㘶㍢挵てて攴愹搴㜶晣搲〴ㄲ㔷㈹㡤晥昲〴敤㑤扢㍥㡣捦搰㑥攷㥣㝡ㄱ㌹慡㘵㜶㈵㑡㘱㜲慡㝥㉢摢摣〶㜰攷扥㘳㤳昵愸摣㝢㡡㔷㙢昴昰㈷挸㜸㐹ㄶ戵㈰〸晤㜳ㅢ〲㔲㘱ㅥ㈹〷ㅣ〸㡣昳慤㤹晣㜲愶慣㐳敡摢㔰㑦敥㐵ㄴ愹搷㍣㘰捣㡡㌲㘲搱戶攱㙦〸㕥㘸挶摡㐶搹ぢ换挶㉢戶㙤㤰戴㐸㤶搳㐵㠳ㄴ㍣㕡昵㉢〷㉤㐷㌷〱㈴晤㠵㔹挶㘹㘴ㄹ愷㘵㔶慦㜹㤴㘱㐱㤹㘶㕦㤵㌹挳戵晣㜹摢㉡㘶昹挲搰摤㥡愰㐹㌰㌹㈵㙦昴㐴㌲㘳愸挹㥡㍦〶㤳捤换〳摤㜹挸㔱㙥ㅤ搱て捡㔵㤵っ晥㈸ㅤ㍡㤶㈰㘰愴㤷㔴扦ㅤ扤㘹昲㘶〴㐴㡥㝣捥㐶昷㉦捥㝥づ㌹㠱㕦㡥㔸㑦㈰ㄱ㜸〴㘳㐲㥥敥敤㡣㜹捣戱㝣㘰㡦ㄸ摢㙢昹ㄳㅥ㔰づ㠰愴㍣摥㕥㉣戱ㅡ㙢㌴㕣搳ち㔷戴ㄶ㌵愸㠹换㕢换攳㝡攳敡㘵㡡〳㡤ㄲ㔳㈴㉢㔵㤲㥡㘵㤹㌹慥㈵㔵愳㐸挵ㅤ㘹ㅢ㈵挹㙤㕡摦㜷㑡㤱昷愰㤸㈴捤愴昴㕤㤲㔰㄰攴㈵㜵㐰㐷搱㕦㥦㑣ㅥ戱㘸つ㙤㠰ㅣ昵㔴㤰搷ㄷ㠶〳㈷㜱攵愴㈴㜲攱ㅢ昸㝢㐳㤸㍣㕣昵ㅢ㑡㡣搳㠳㘱挹㘸戹㝣搸㠱㤵㔰㌴摣搲ㅡ㘱㘹慣㉤搰㌰㤲㍢㍢搵晥挱昶挶ㄸ㌱㘴㐳㠶㐴ㄲ晣挰㘰㐳㌰㔷㉣㥡㑡敢慣㡦㕢㕤换捥昲敤愰㌰ㅣ㠹㠱㘹扦㌴㈱ㄶ愵ㄹ㔶户攴〷㘵㠳摡㘹㔱捡㔱摤ㅣ㥤昵愰搲㝤捡昱㌰㈵ㄹ㕣㌷㡦搲㉤㠵ぢっ㄰扢㘱㙡慡攸㈳慣㕢敢㠰㈷㠳戵㠳ㅤ散㐸㄰㌶愱㜵㐶〹㥡㐹㈰摣挶㐵㤰㜷㍡挴㈸〴愹㈹㥦㝦敤㔶㥥㝥㡡捦㡦㜶愷愲㐴挸㐴っ㜵㈵㔸て㐰㙥㍣㉡㐹㉥ㅡ㡣㠲攵㠱㘴㤳㐲慢㌷捡愳㠹搱㐷㤳捦昵㜱㠳㠷㜱慣㝥戲㑤ㄹ㜷摣㝣ぢ摡戴扣戴挱㥣㜴㡡攵㙡㐹㐸㔵ㅣ挹㙡愹㤱搷〴扥攴昵扦㠰㥢ㄲ昶㈵摣㤴㐹ㅣ愵戸㘴㈲愹㜳扢㕢晦㌸㥡㑢㈱㠷㍥〲搹挶攰㘳㠲㕢㑥〶挳㕡敥㈸搰㍥摣㔸扦扣㈰㉦捥㐱愴戵㘴㔱㤶ㅤ挰㕤扣㕡〴㔹㜲㕢慣摡㠱捡㠱ち㙤昶㔸搶㝥㉢挸㕡ㄳ㌸挲㍡〳㠱㤷挹挰ㄸ改㤰㍢搸㐹敡㙣ㄸ搹㍤晢㌹昹㥡㍡扢㍢㌴㍥ㄴ挶㜷㜹ち㑡㘱㔷挱㐸㌴戸搵扡搵慤㌰昲㑢换㕢扦〳㐰㘱〸㤸〶㉤㙡〶〶捥ㄸ搲㉢ㅢ㌸っ㐶㈶㐴㐷攳㠱㔴挶㈸〷攱戰〷搲挰㑤㍣㐸捦㔴愰㠴晣㑤昲㔲㔸㜴㉦㜱搸挶ㄱ愸攲㕥搰㤴㌹㘵昸戸晡攲㙣㙥捡ㅥ㉤㤵㘸敥挲㍦户㈶戰㡡㙢ㅢ㠱㌹扡愹改㐲㤶㕣ㄳ敤扢㉤㑤〵攱㐵挱敤ㄳ昹晤㠶㕦㥣㥦昶㤷㠲㑢㕢㥤㤲㠴昶㑢昸㈳㤶ㅤ㥤㌶㜳摡攱㈵搴㐵敥㝤敥愴㔳㌹攵挸㜹㘹ㅥ㙦晣搱㡡搵扢扢㌹挹㕣敡㕤晣㤱㡦㥡搲㕥㐱㡦慢㤹㌶㍢愸㍢㐸搸㡦㝣〲㘹㌰㠴㜴〲㥤挰㜶慦摤ㄸ㈰㥤㙣㙡愲ㄳ㈹〸搶〹挵㤹㝢摦〸㐵昹〵搰㑡㘲〹㡥攴搸昳攷挱晡捡捦㤱㐳㠴攳㍤ㄴ㈳摡㤵㐸㈵愰㑥ち昲昰㝡〷㉦㠳晣晦㘰㈹攲收㘵搹改扦挰捣捡换捤㈸扡㥣㈸㝡愹ㄵ㐵っ挴㥥㔳挸㥢戳㕦㍦㙡㝥攰搷㝡晦㠷㐷捤㍢㠱㘱㍥搲ㅡ㐳㔰㡤挱昸㥡㌱搰搵㘲っ㕣㠳㘲㘹っ摣挵㌶㡣搷〷挶㐰攸敤㌸㠸㡣㤵㡤〱㐶昱ㄲ㑣扥㔸㔰㌵收挰攰㔹敢〲㥢㥥戰晤戸㕥㉢㍣㐴敥愱㥥扣㜱昸㥥㉥㙣捤㥥㌲㕣挳摥㉣昳昷戹〲㙡换㥤挱㝤㙤搹㠴㉤㉥㕥戶㐴㌶㕡挶㉢ㄱ昹搳搷㍤㈷慢扢愵づ㑣〵㑦攰愸㔷戲㑡收㍤昸㐴ㄴ㥥㄰㔲㥦摥昴㤳㝤㝦㝥昰㤱摤扣㤷ㄶ搲慡挶㐰㜰㈷挱㜹㕡づ〸摦挶慥㠴㥣捦捦㙦づ攲㐳㈴㙢愱㉣挶っ㔷摡㍢㥥㙥㐷挹㠰昰㘲㠴ㄹ㄰摦㕡㌰㈶㜱挳㈱㌰㈶昳㑤㡥㑤昹昹㤲㜴〶收㘳ㄳ㤷摥扢㈸㐰愸戴㔵㔹ㅤ摡㤵摡㑦愱㜴捥㜱㈲㡤昶㈰捦㤷㝣ㄴ攵㠵㘶慤戶㤳㕡㑤㥡㠹捡㌰㙡㐴㔲ち㤱〶㔲㐸晣挸挲搰扦㤴㔲㔳㐸㘸㜹㠰㠴ㄸ㕡㜳㌰㤷㈷晦㜵㈱㈰㙡搷晢㍡晣㔴〵扢〸㉣㐶㕥昷㑥捦慥戴㍡㈳搵挴愰慣㍣㝤ㅣ㐱㐲ㅥ㔳㤸挱㈸慤捣㍤㡡㐴昴㘸㈳㐸慤摡昱挴㐱晡散㈰挴ㄶ㌰戶㘶搳慢㤶戳昷㌸㔵摣昱㠰㥥挹㐸㠵攱㙣㘴㌶㡥㥥㌲ㅡㄷ㔴捤〵㔹㠴晤㐱戲搶愸㈷㉣㠲捥㜲㌶攳晣㠹㌰ㅦ扦〷㘲昹㜰扤敢昳㥢㑢愸攳㥣㙥㉣㤰㍦搸㕦㤷㈷㌰㌶㐶㈵挷㐰挲慥慡㔶㌶戸〴㍥㡤㈶搲㥥㔷昴㝡㤲㘳㈹ち愳搱ㄱ㘷㜵愹㉤晡㥦㜱㙡挹㔹㌳慣捤㠰㜵㠳晥㍦㡥㡣ㄵ昵扦挲㈸㥢㐴搹摤㘱㠲㉦ㅡ㈳㈵㉢〶㘷戸㈳昰㘱㈳㑣㈳㡦挰扡㑣㌲戸ㅤ愴愶昱㠹㙡㔰㉣㈵㌸㍣㕣改收㑢㄰戵戶戴㙤㝢摡ち㐰㐶㠱戴ㅦ㐲〴戵㙤捦㐹户㥥㘳㌳昷㈰㝢搳㐱慢攸㔶扣㡡改て㑤㈳扣㍢挴㉦捣㑣搸㍣愳捡昳捤㐲㙤ぢ㜶愲昷㕥戴㌹㜴ㄸ〲晢㤰昰摦慦愸㈳㘳〸慢㡢㔹昰㙢愳㠱㔸㈰㠹摡挱㍢捦㍣㔲㌵捡昸㐰昵㌰扣㥡㍥戳搶㠴戲ぢ㝣换捤㜷㌱戸㜵戸㡤㜵ㄷ㍣㍦愲㥣㐷ㄸ㑣㉥攱摥晢戸慦捤㝢搰㔸㌷㕣㥢挷㥡㥤㜹搷㜲摡て㠰搳搵㡤搲㐸㌲ㅣ㤳摦ㅤ攷昴晢〸ㄱ攷愱㜷㜴昵慥㔸昶㌶〸㍡て㍦摢愶换㙢戸っ㐷搹㉡攲摣㥦㐲㔳攵づ〲晣昴㐲㤸攰㡢㐲㝦摥敤㑣㍣㡢㘵㤱〱㤰㑥㘵っ㠰昶㔴晤摤攵愸㕡攱搱㠲㔴㤸㔳扥㠳㜲敥㔲戰摡ㄲ昳㜰搴㤰㐷〸愴昵戸攴㔶㜸㠴㤰攳㍦㡤〶戵昱攷㤰摢㝥晣㙦㉤㍢㍥㤵扦㕣㕦扣晦㠱㐸㜹攸㈷㌸昴㐹㠲㌲㠱つ㌰㄰搵散愷㔸愴慣挹〴㐱㠴㤷㜷㈳㡤攷て攱扦㙦敥㝥敤㔵㍥晦摣慤㐸㐱㠸愲挶㔵㔰㄰捡㔵㍣ㄱ㕦挵〲㜲摢慦攲敢换慤㘲㠰㌲㤲㌳搱㕤㠰扥㉥㠵戴㈲㔷攵㈱挱つ攵㑦㤱〸㐵愲㘱ㄶ〳㐴慣㙣㕢㐵〲㙤戹昳戲敤㈲ㄲ㔱㕢㡤ㅢ㤱昰〹㡦戴㡦㜸攵㤱㕥㥢㑣攰㜶捤〴㕡㌱㙢㠷晥搶㌵㈱ㅢ戰㈴㝥ㄳ摢㔶愴㘷㍡㡣攵㉢㡦㐷㠸搹扦㍦晡㍥㑡つ愳㑢㈰㡣挰㈲㈵㈱㜱㈳㤵㉦㐵㤵㕦㜸戱敥ㅣ㐵〱ㅥ㔰㑦㔰㤹〴㈷㉢㍦ㄶ㔵摥㡥㙦慦㘴㥤ㄴ敦ち昰㜹㌳慡㑣挲㤴㤵ㅦ㡤㉡晦㘳晢收㕡攵㠸づ㠳㥥㌵ㄲ㐹㠲慤㉢慤晦搸㜷搸㍣㔴㙢㈶昵㘷㡦ㄹ㘴㔳㜲捡㈰㜱㔹㙡搰㕥㕣晢㜰昱㈵昴〱摣㘲挲㘵て〸搹攰㍦㐴㤸挴敤愶〹挳㌷昰愱昳㈲挲捡慥㉥摦搸㌸㘳ㅥ㜶㤱搱㙤㑥㝡㌸㔳㤵搶ㄴ㠹挰ㅣ㐸〷晢扢㠲晢㍤挱㜴慣敦㐷ㄴづ㔳㜹㕢愴㌳攵㈱㐳㈸㘹攵㤱〸戳愹㌳㜵㥡搱㍦〳攴㐰㑣〲㌲愱㝦ㄶ㌰〸戹㙣㘲挶〰昹㕦㌲昷ㄹ㈴昴㠷〹㍥て㤰㔳挸散愴㠳捣ㄷ〰晡愳晦㡥㘲㘸㔱晡㑢㔴攵愱㘸戰㌸ㄹ改㕦㘴㠳㐷〱扡攰愸㔵㐲㈲捣改㡦㈱㈷㍥㈸〵㠷ㅣ昴㜱ㄶ㝣㤹攰㉢〰㌹㡤㤳㕤昵慥㜱㑤ㅤ㙡慥慦愲愹挲慤㤰㜲散㙢㘱㠲㉦摡ㄹ㠰摢摢摢捡㍣ち㐷㥦敦㈳愸搹昰㥤晥ㅥ㝣㜷扦挴㐵㜷攱扦ㅤ搱愴㘱㥦㔶㍦摡㔹㕦㘴〲摡攴昲攷㘲戳摦㐳㍦㕣㔷摤挶㘴㡦ㅦ挳㉦慢㘶㤴㠷昱敦ㄹ晣㤴〷㌰〲㐷愱愶捤挲捤㐲ㅡ㤰〵ぢ㘱〱㔵㤶晥〴㠰㐲ㅣㄳ㑦晡㤳㝣㈳㙡搹扦晥㡤㌰挱ㄷ㠵㜸㍤挳㐴㌹㙣ㅥつ㐸㕣换㠲㤳㑤〳ㄲ晦戲攰㐴㝣挰㙦㈲㔷㤱挸㐲愲㔱㉢ㄱ㘹㘹收㍥〵搰搷搵捦戹㔱换愹愷㤵攲晤愵晢敦㝦扢㍦㍤㜴㜱晡ㄳ㜷昴㍥昵收敦摥㝡昲昵㑦敥晡晢㍢捦㍣昳晡㕦㥥㝣昵㥤㔷㘶㜷晤收戹攷㝥㝤攷昷㕥㝤㙢愳昹慣晡攲摢〷㥥㝤㘸攴攴㐳て㤸挷㙥摣昷搰㍤㈷㡥㡣㑣㥤㌷摣搵搵摤㝤摤攰㙦㉦扡㝥攰捣〳㉦㈹扦晡攳㠵㡥㈲㤷换〱㡦〲㐴捦〰㤷㉤愷昱㙤㈴㌰つ捥昸〳㥤〶㤷㝢〶㍦愵ㄴ㙥搴ㄸ㕥戲昰㘹㜰〲戲愰搸㔸搰昳ㅦ㉡㈷戱㥡</t>
  </si>
  <si>
    <t>㜸〱敤㕣㕢㙣ㅣ㔷ㄹ摥ㄹ敦慥㜷搶㜶散挶戹㌴改捤扤㕦ㅣ㙤攳戴改㠵ㄲ㔲㕦㜲㜱㥢㡢ㄳ㍢㈹㔵㕢戶攳摤㌳昶㈴㍢戳捥捣慣ㄳ㤷㐰㔳㈸㉤攵㈲搴㠲〴㉤〵慡ち㔵昰㠲㔴ㅥ慡ㄶ㕡㈴㈴㄰ㄷ戵㠸㠷ち㠹〷愴㔰㈱㜸愰㐲㤱㜸改㐳愵昲㝤㘷㘶㜶㘷㜷扤㘳㜷搳㠲㠳㍣挹晥㌹㜳敥攷晣搷昳晦㘷㤲㔰ㄲ㠹挴〷㜸昸㉦㥦㈴ㄳ㤷㑥㉥戸㥥戰㜲愳攵㔲㐹ㄴ㍣戳㙣扢戹㘱挷搱ㄷ昶㤹慥搷㠱ち改扣㠹㜲㌷㤵㜷捤㐷㐴㈶㍦㉦ㅣㄷ㤵㔲㠹㐴㈶愳愹㈸㘷㈷晣昵㠵㉦ㅡ㕢㜵㈷〱愶㐶㐷づ㑥ㅦ㐳慦㤳㕥搹ㄱ㕢〶㡥晡㙤㜷っつ攵㠶㜲摢户摥扥㉤户㜵换挰㘸愵攴㔵ㅣ戱挳ㄶㄵ捦搱㑢㕢〶㈶㉡搳㈵戳㜰慦㔸㤸㉡ㅦㄷ昶づ㌱扤昵㤶㘹晤搶㍢㠶㙥摤扥摤戸昳捥㍢扡㌱㜴攲挰攸挸㠴㈳っ昷㈳敡㌳挵㈹摦㍡㈶ち㈶搷㈶㠴㘳摡㌳戹搱ㄱ晣㡤捣ㅦ㙦户攷㈶㘷㠵昰㌸戴㜰㠴㕤㄰慥㠶㠶㕤搶戰敢㔶慣㌹㙥㥥㘶敤挶㔲ぢ扡敢愵慣㔱㔱㉡㘹㔶搸㙢挶㍡㠸扤㉢改ぢ摤搶愴戰㕤搳㌳攷㑤㙦㈱㙤㑤愱愳㘲㡦㜵挴ㄵ㠷㜵㝢㐶ㅣ搰㉤㤱戲昶㔴捣㘲搲㝦ㄲㅤ搷㠷㕤㐴㈷㈶㤷㥦ㅢ㜶慤搱㔹摤㤱㌳㜲戹㌱㌱㜵㜷㍢㠵晡扡㔷户敥㤷㔳㤷㈳戰捦㙢㕢搷㐳挹㔱摤愹搶ㅣ㙣㕤㌳㔸㝣晤っ㙥㙥㕤㍦戲㐷昵㙤㙥㙣摤㐶㙥㘵㝤㙤愵㉢愰㙦戹愳㔸㡣㤶㈶攸㈴挸㄰㄰㠱㕡㤶愰㡢愰ㅢ㐰㐹晥ㅢ㕣ㄲ㙤挸㈲㌵慦慢昹㘹㌵㕦㔰昳㐵㌵㉦搴扣愱收㘷搴晣慣㥡㌷搵晣㌱㌵㝦ㅣ㜵挲㈷搳搹愹〶捦ㅢ㝢㝦昷敥搶㘹㘳晣㕢扦㜸㜰捦慦愷㙦㍢摢扤〶㤵づ〵㤳ㅡ㜳昴㤳㈰戵ㅡㄵ㠳㈳昸㘷㘹慥〰㔳ㄸ摢㡤摢㡤愱愱攲昶慤晡㉤㝡㡡换㡡㐱㝥ㅤ愱昴愱㙥户㜱㥦㘹ㄷ换㈷㈵敥㉥ㅤ搱㕤㔱摢戸挱愰㙣愴㕣戱㡢敥㈵㡢ㄷ㑥㝡扡㈷㌶㌷㤶搵㍡㘹㙡㌶〹戶ㄲ慥ㅣ敦昲挶㘶㐷昵㔲㐵っ㥦㌲晤攲换ㅡ㡡慤〹愷㍣摤扡㜴户㈳㑥㔴㑢㥢㘶㌴っ愱㌶㉦晢㙥㕡愵㕦攴捦㙢㘰㜴戶散ち㕢㑥㙦搰㥡㌰ぢ挷㠵㌳㈹㈸ㄲ㐵㔱㉥㜵㍤㡢〲慥ㅦ㍣㘸㘳愱攰搶攲㔵搱㕣㘳搷㈹て捣㉣㡡㤸敦㥣㜰扣㠵㈹㝤扡㈴㌶搴㔵昱挷㐴挱愶扡散摤攵㐲挵ㅤ㉤摢㥥㔳㉥搵㤷っㄷ攷㜵㐸㥡攲晥㜲㔱㈴㤳〹㈹ㄴ㈰㜰㍢㍡ㄴ㈵㜱㔳㙢㕥㤰㠸㠸愰㤸㡣㝣㜱㍤搹攵づ㘳㜵㔸㐵㐹㤰㈶搵㙢㤶攸㡣昳㤵㌲㈶㠶〳㈳㙢愲晥攰愰㌷㉣搱㙤ㄵ㜳ㅦ㙦㘵㔵敤て㔶扦㙢㕥搸摥㕥摤㉥㤶㠴ㄳ慢晤ㄴ捥㐸敢〵㐸㥤㠳㐰㘸戹㝢㔴㜵捡㈹㘵㈱㜵搲㉣㝡戳改㔹㘱捥捣㝡挸㠳㠶捣㘴戸戵㑤㡦㜶ㄱ戲戴戵〴晤〰搹㙣㈲扤㡥㤵搲㔹㍣㠹ㄴ愵㔳っ㉦搷〹㜲戶慢攳攵㙥㘳户㔹昲㠴㉦㤴㝢つ㘰挴搷㙡ㄲ㝤㍤㈴㔱㐷㉦昸ち㘳㥤㌱ち㉡搵㑤摢㕢愸昱㙤ㄳ㤷昸㐴戴㉡ぢ㔶㥣㉣愰㈸愸㤷〷㌱扣〶愲㘹㤰〶昱㤵㈳㐴㐴㌶㠸搱散攸戹㥥挸㔸㍦㐶㐶愰㝥㤴〸㔹㝢㙢㙢ㄹ㐱㘲㙦㈶㔲㌶㙡挹㡦慢搲㙣㌱㕢摥㤷㘶敢戱㜱摡〶㠲㡤〴ㄷㄳ㙣〲㔰晥づ〹㐷㈹㠷㜴晤愳㕤㠲㜷敤㔲㠲换〰㈰㥦㌴捡㥣㐰㔴搱㠶㕡㡥ㅤ挹㝡㍤戰㤳愵㔱散㡢㈲㕡挶㔵㍢戳挷㤲㠸づ慣捥㤵愱㙢㤳㔲挷㕥搷㥡㌶愳换㈱㐵挶㔴㡤慥㜵㠹慡搱㡤㘰搵㌶昵搶ㄵ㘸慡つ㄰㕣〹攰㉢ㄶㅡ扢换戳收㘹㑥㕥㄰㈶㤱㙦〸戵愹摣〳㈲愶昹ㅦ㈳攰㥡㡥㉥慢昶㌳㑤挱㐱攳㠲户㥦户戴收敤〰改つ㍡㜳㔵攷搰㔷昴㈱㉤攸慢挰㕥捡㕦㕡敡㤷㙢㔰慣㕤㑢㜰ㅤ㐰㠳㝥攱挹晢挳㝡〹愴㐹㙣㐵㌰户㤶ㅥㄷ㘹攱㑥㉤捣〹愹㝤扡㡤㈹摤㤹ㄱㅥ扣ㄷ攳㘳戰㠳换㡥㈳㑡㌸搰ㄶ㘵〶捦㉥ㅢ敢㌳摤摤㑥搹㘲晥慡㝤散㕥㄰㡡㈱㤹㔴㍢ㄲつ昶㜱㡣㥤ㄹ昱㌷㐵㈸㠷晡昷㤶搶㐲㈲搲愸㥥扣搸㉥晥㙣戹㉡㐹摡㤰㈴㌷㘰㕢戵ㅢ〱㈰㈵㤴㍦戵㤴㈸㠳慣戶㐵㔶慢户㔶改摤㡢㌹㤹㌴昸て㥢攴㐸㤷敦慣ㅤ㠱敦挰敤戱㈶㑤慢㉡㉣扡慣〹攱ㄴ攰㔷㌰㑢㈲敢扢㘴㈹㙡㔶㘵挵〵㈲㉢㍡㍡㥡捥搲㌱扥㌵㐹㈷つ㔲㈲㤶摢㘳ぢ㘳捥攱㌵愲愲ぢ㤲㐲㈵挶㉤㔴㤵㐰愴㍣搶㕤ㄵ㌱㙤㠸㤸ㅣ㌶㑥扢㤹㘰㉢挱㄰㐰敡て㤰㌴换摤㜸㠶挲㍡攷改捥捥攷ㄳㄹ愲㐱扡〷摦㙡㈹慣㙥攵㌰摢〹㙥〳㘸㌰㝦攸㝣㡣㈱㐴㠹昲〸㈱搲㕡搲㡣愳愶㌸㐹ㅡ㔸㘳㈰愸㌴㕡㜱扤戲挵愸㔲㡦㌱㔶㍥㔰昶挶㑣㜷づ㔱愸㝥㈳㐸摣㌷㉢㙣㔰㤷〳摢愷㈱慦㍣㌷㈷㡡㥡㌱㔹慥㐰戴㡤㡦慤㠴㐳㌹搶〷㕢㔲㥥换㔵〵㑦㝢㘷㘳㜴愱挸ㄳ㌱㝣慤昴挴㉥换昳捤㐳㕦㙦㙤㐷愷㑣慦㈴扡っ㥦改㤸捥ㄸ搸㐵㐴つ㡡㥤挶搴慣㈳挴㔸㡦戱挷㌱㡢㈵搳ㄶ㐴〶㙣㑣〶敡昶㠹ㄹ㐴〸㈶捡㡣晦㤵敤ㅥ㘳捡搱㙤㜷㑥㘷㌰㜱㘱㙤摤㥢っ㠹愴㡣ㄱ搳㜶㌱㡣挴㈲搳扤挶攴㙣昹㈴愲戵ㄵ换摥愳捦戹㉢〲㉢㈴㝡晦㤱愸㔱㔴㐵㔵㤵㡣㥡㘹ㄷ㍦㍣㤰㈷ㄲ摢昰㑢ㄲ㐸㕣㈵㔲昴㤷挷㘸㙦摡昵㐱㝣㠶㜶㍡攷搴㡤挸㔱㌵戳㈳㔶ち㤳㔳戵㍢搸收㑥㠰㝢昶ㅣㄹ慦㐵攵捥㉢㕥㥤愲㠷㍦㐶挶㑢戲愸〶㐱攸㥦㕢攳㤳ち昳㐸㌹攰㐰㘰㥣㙦㡤攴㤷㌵㘴ㅤ㔲摦㥡㕡㜲㌷愲㐸摤挶㍥㝤㕡㤴㄰㡢戶㜴㙦㡤晦㐲㌳搶搲㑢㙥㔰㌶㕡戶㉣㥤愴㐵戲㥣㉣攸愴攰攱㡡㔷摥㙦摡㥡〱㈰改㉦挸搲㑦㈱㑢㍦㈵戳扡㡤挳っぢ捡㌴晢㉡捦攸㡥改捤㕡㘶㈱挳ㄷ㠶敥㔶〴㑤㠲挹㈹㜹挳㈷㤴ㄹ〳つ搶晣ㄱ㤸㙣㙥づ攸捥㐱㡥㜲敢㠸㝥㔰慥慡愴昱㐷㘹搳戱〴〱㈳扤愴摡㕤攸㉤㈵㙦㐶㐰攴挸攷㕣㜸晦攲摣愳挸昱晤㜲挴㝡っ㠹挰㈳ㄸㄱ昲㜴㙦愷㡤㈳戶改〱㝢挴搸㙥搳ㅢ㜳㠱㜲〰㈴攵昱㜶戳挴㙡愴搱㘰㔵㉢㕣搱㕣㔴愷㈶㉥㙦㉥㡦敡㡤㙢ㄶ㈹昶㌵㑡㐴㤱㉣㔵㐹㙡㤶㐵收戸㤲㔴㡤㈲ㄵ㜷愸㙤㤴㌸户㘹㙤摦㈹㐵捥㐳㌱㐹㥡㐹㘸㍢㈴愱㈰挸㑢敡㠰㡥愲扦㍥㥥㍣㈲搱ㅡ摡〰㔹敡㈹㍦慦㈷〸〷㡥攳捡㐹㔱㘴㠳㌷昰昷㥡㈰㜹戰攲搵㤵攸愷晡㠳㤲攱㔲改愰つ㉢愱愰㍢挵ㄵ挲搲㔸㥢慦㘱㈴㜷戶慢晤晤敤㡤㌰㘲挰㠶っ㠹挴昸㠱挱㠶㘰慥㐸㌴㤵搶㔹て户扡㥡㥤攱摢㝥愱摢ㄲ〳㤳㕥㜱㑣捣㑢㌳慣㘶挹昷换〶搵搳愲㤴愳㥡㌱㍣敤㐲愵㝢㤴攳㐱㑡㌲戸㘶ㅣ愶㕢ちㄷㄸ㈰㜶㠳搴㐴挱㐳㔸户摡〱㑦〶㉢〷㍢搸ㄱ㍦㙣㐲敢㡣ㄲ㌴ㅤ㐳戸昵㡢㈰敦戴㠹㔱〸㔲㐳㍥晦摡愹㍣昷㉣㥦ㅦ敦㑣㠴㠹㠰㠹ㄸ敡㡡戱ㅥ㠰摣㘸㔴㤲㕣搴ㅦ〶换㝤挹㈶㠵㔶㜷㤸㐷ㄳ愳㠷㈶㥦攳攱〶て攳㔸扤㘴㥢ㄲ敥戸㜹㈶戴㘹㘹㘱㡤㌱㙥ㄷ㑡㤵愲㤰慡㌸㤴搵㔲㈳慦〸㝣挹敢㝦㍥㌷挵散㑢戰㈹攳㌸㑡㜱挹㐴㔲晢㜶户昶㈹㌴㤷㐲づ㝤昸戲㡤挱挷ㄸ户㥣っ㠶㌵摤㔱愰㝤戸戶㜶㜹㐱㕥㥣㠳㐸㙢捡愲㉣摢㠷扢㜸搵〸戲攴戶㐸戵㝤攵㝤㘵摡散㤱慣扤愶㥦戵㈲㜰㠴㜵晡〲㉦㥤㠶㌱搲㈶㜷戰㤳挴戹㈰戲㝢敥㔱昹㥡㌸户㌳㌰㍥ㄴ挶㜷㜹ち㑡㘰㔷挱㐸㌴戸搵㥡搵慤㌰昲㑢换㕢扢ㅢ㐰㘱〸㤸〶㉤㙡晡〶捥〸搲㑢ㅢ㌸っ㐶挶㐴㐷愳㠱㔴挶㈸晢攱戰〷搲挰㑤㍣㐸㑦㤵愱㠴扣㜵昲㔲㔸㜸㉦㜱搰挲ㄱ愸散㙣㘸挸㥣搰㍤㕣㝤戱㌷㌵㘴てㄷ㡢㌴㜷攱㥦㕢ㄱ㔸挵戵つ摦ㅣ㕤搷㜰㈱㑢慥㠹昶摤搵つ〵挱㐵挱㙤㘳戹扤扡㔷㤸㥤昴ㄶ晣㑢㕢敤㤲㐴敡つ昸㈳ㄶㅤ㥤㌶㜳搲收㈵搴㜹敥㝤昶戸㕤㍥㘹换㜹愵㕣摥昸愳ㄵ慢㜵㜶㜲㤲搹挴〷昸㈳ㅦ㌵㤱㝡ㅤ㍤㉥㘷摡散愰收㈰㘱㍦昲昱愵挱〰搲㌱㜴〲摢扤㝡㘳㠰㜴戲慥㠱㑥愴㈰㔸㈵ㄴ㝢收㈳㈳ㄴ攵攷㐰㉢㠹挵㍦㤲㘳捦㕦〲敢㉢㍦㐳づㄱ㡥昷㐰㡣愴慥㐴㉡〶㜵㔲㤰〷搷㍢㜸ㄹ攴晦〷㑢㈱㌷㉦捡㑥晦〵㘶㔶㕥㙢㐴搱攵㐴搱慢捤㈸㘲㈰昶㐳㠵扣㌹晢搵愳收挷㝥慤昷㝦㜸搴扣〷ㄸ收㈳慤㌱〴搵ㄸ㡣慦ㅡ〳ㅤ㑤挶挰戵㈸㤶挶挰扤㙣挳㜸扤㙦っ〴摥㡥晤挸㔸摡ㄸ㘰ㄴ㉦挶攴㡢〴㔵㈳づっ㥥戵㌶㔸昴㠴敤挵昵㕡攱㈲㜲て昵攴㡥挲昷戴戱㌹㝢㐲㜷㜴㙢㤳捣摦攳〸愸㉤㘷ち昷戵㘵ㄳ戶搸扣㘸㠹㙣戴㠸㔷㈲昴愷慦㝡㑥㤶㜷㑢ㅤ㤸昲ㅦ摦㔱慦㘴㤴昴㜹昸㐴ㄴ㥥㄰ㄲ㥦㕤昷㤳㍤㝦㝤攴昱㥤扣㤷ㄶ搰㙡㡡㠱攰㜶㠲昳戴ㅣ㄰扥㡤㕣〹㔹捦捦㙦昶攳㐳㈴㜳慥㈴㐶㜴㐷摡㍢慥㘶㠵㐹㥦昰㈲㠴改ㄳ摦㑡㌰㈶㜱挳挱㌷㈶㜳つ㡥㑤昹昹㤲㜴〶收㈲ㄳ㤷摥扢㌰㐰愸戴㔴㔹㙤摡㤵愹㥦㐲改㝣挸㠹搴摢㠳㍣㕦昲㔱㤴㤷ㅢ戵摡㜶㙡㌵㘹㈶㉡㠳愸ㄱ㑡㈹㐴ㅡ㐸㈱搱㈳ぢ㐳晦㔲㑡㑤㈰㤱捡〱挴挴搰ㅡ㠳戹㍣昹慦ち〱㔱扤摥搷收愷㉡搸㐵㘰㌱昴扡户㝢㜶愵搵ㄹ慡㈶〶㘵攵改攳㄰ㄲ昲㤸挲っ㐶㘹㘵敥㘱㈴挲㈷㌵㠴搴戲ㅤ㑦ㅣ愴挷昲㐳㙣㍥㘳愷㉣㝡搵戲搶㉥扢㠲㍢ㅥ搰㌳㘹愹㌰散戵捣挶搱㔳㐶攳晣慡㔹㍦㡢戰搷㑦㔶ㅢ㜵〵㐵搰㔹昶㈶㥣㍦ㄱ收攳昷㐰㉣ㅦ慣㜵扤扥戱㠴㍡捥敥挴〲昹㠳晤㜵㜹っ㘳㘳㔴㜲っ㈴散戲㙡㘵晣㑢攰㤳㘸㈲敤㜹㐵慢㈵㌹㤶愲㌰ㅡㅤ㜲㔶㠷摡愴晦ㄹ愷㤶㥣㌵挵摡っ㔸搷改晦愳挸㔸㔲晦㉢㡣戲㐹㤴摤ㄷ㈴昸㤲㘲愴㘴挹攰っ㜷〴㍥㙣㠴㘹攴ㄱ㔸㤳㐹〶户晤搴㈴㍥㔱昵㡢愵〴㠷㠷㉢搹㜸〹愲摡㤶戶㙤㔷㑢〱挸㈸㔰敡㐷㄰㐱㉤摢㜳搲捤攷搸昴晤挸㕥户摦㉣㌸㘵户㙣㜸〳㤳〸敦づ昰ぢ㌳〳㌶捦戰昲㔲愳㔰扢ㅡ㍢搱晤〰摡ㅣ㌸〸㠱㝤㐰㜸ㅦ㔵搴㤱㌱㠴攵挵㉣昸戵㔱㕦㈴㤰㐴敤攰㕥㘴ㅣ慡攸㈵㝣愰㝡㄰㕥㑤㡦㔹㉢㐲搹昹扥攵挶扢ㄸ摣㍡摣挶扡ㄷ㥥ㅦ㔱捡㈱っ㈶㤷昰挰㐳摣搷挶㍤愸慦ㅢ慣捤㘵捤昶扣㙢搹搴て㠱搳攵㡤㔲㑦㌲ㅣ㤳摦ㅤ㘷戵㠷〸ㄱ攷愱㜷㜴昹慥㔸昶搶て㍡て㍥摢愶换㙢戰〴㐷搹㌲攲摣㥦㐱㔳攵㙥〲晣戴㝣㤰攰㡢㐲㝦摥㕤㑣扣㠰㘵㤱〱㤰㑥愴㜵㠰搶㔴晤晤挵愸㕡攱搱㠲㔴㤸㔵扥㠷㜲敥㤲扦摡㈲昳㜰搴㤰㐷〸愴戵愸攴㔶㜸㠴㤰攳㍦㠷〶搵昱㘷㤰摢㝡晣敦㉣㍡㍥㤵扦㕣㕦戴晦扥㔰㜹㘸挷㌸昴㜱㠲ㄲ㠱〵搰ㄷ搶散愵㔸愴慣㐹晢㐱㠴搷㜶㈲㡤攷㡦挱扦㘷㜷扥昵㈶㥦㜷㜷㉡㔲㄰愲愸㝥ㄵㄴ㠴㜲ㄵ㑦㐷㔷㌱㠷摣搶慢昸挶㘲慢攸愳㡣攴㑣㌴〷愰愷㐳㈱慤挸㔵戹㐸㜰㐳昹㔳㈴㐲㤱愸㥢㐵ㅦㄱ㉢摢㔶㤰㐰㕢敥扣㙣㍢㡦㐴搸㌶挵㡤㠸昹㠴㐷摡㐷扣昲㐸慦㑤摡㜷扢愶㝤慤㤸戱〲㝦敢㡡㤰つ㔸ㄲ扦㠹㙤㈹搲搳㙤挶昲㤵愷㐲挴散摤ㅢ㝥ㅦ愵〶搱㈵㄰㠶㙦㤱㤲㤰戸㤱捡㤷挳捡㉦扦㔲㜳㡥愲〰て愸挷慦㑣㠲㤳㤵㥦っ㉢㙦挳户㔷戲㑥㠲㜷〵昸㥣つ㉢㤳㌰㘵攵㈷挲捡晦摣戶愹㕡㌹愴㐳扦攷ㄴ㠹㈴挶搶㤵搶㝦攴㍢㙣ㅥ慡㔳〶昵㘷㤷攱㘷㔳㜲捡㈰㜱㐹㙡搰㙥㕣晢㜰昰㈵昴㍥摣㘲挲㘵て〸㔹晦㍦㐴ㄸ挷敤愶㌱摤搳昱愱昳㍣挲捡㡥㈶摦搸㌸㙤ㅣ㜴㤰搱㘹㡣扢㌸㔳ㄵ㔷ㄴ㠹挰ㅣ㐸晡晢扢㠴晢㍤挶㜴慣敤㐷ㄸづ㔳㜹㕢愴㍤攵㈱㐳㈸㐹攵昱㄰戳㠹㌳㌵㥡搱㍥〷攴㐰㑣〲㌲愱㝤ㅥ搰て戹慣㘳㐶ㅦ昹㕦㌲昷ㄹ㈴戴挷〸扥〰㤰㔵挸散愴㠳昴ㄷ〱㝡挳晦㡥㘲㘰㕥晡㑢㔴攵㜴㌸㔸㤴㡣戴㉦戱挱ㄳ〰ㅤ㜰搴㉡〱ㄱ㘶戵㈷㤱ㄳㅤ㤴㠲㐳づ晡ㄴぢ扥㐲昰㔵㠰㙣㡡㤳㕤昶慥㜱㑤㙤㙡慥慦愱愹挲慤㤰㜲散敢㐱㠲㉦愹㌳〰㜷戵戶㤵㜹ㄴづ㍦摦㐷㔰戳敥㍢晤㕤昸敥㝥㠱㡢敥挰㝦㍢㤲㤲㠶㝤㔲晤㐴㝢㝤㤱〹㘸㤳换㥦㠳捤㍥㡦㝥戸慥㥡㡤挹ㅥ㍦㠹㕦㐶㑤㉢㡦攱摦㌳昸㈹㈷㌰〲㐷愱愶捤挰捤㐲ㅡ㤰〵㜳㐱〱㔵㤶昶㌴㠰㐲ㅣㄳ㑦摡㌳㝣㈳㙡搹扦昶捤㈰挱ㄷ㠵㜸㍤挳㐴㈹㘸ㅥづ㐸㕣换㠲攳つ〳ㄲ晦戲攰㔸㜴挰㙦㈳㔷㤱挸㐲愲㕥㉢ㄱ㘹㐹收㍥ぢ搰搳搱换戹㔱换愹愷㤴挲挳挵㠷ㅦ㝥慦㌷㌹戰㌹昹改扢扢㥦㍤晢晢㜷㥥㜹晢挱ㅤ晦㜸晦昹攷摦晥摢㌳㙦扥晦晡昴㡥摦扣昸攲慦敥昹挱㥢敦慣㌵㕥㔰㕦㜹㙦摦ぢ愷㠷㡥㥦㍥㘱ㅣ戹㘹捦改晢㡦ㅤㅡ㥡戸㘸戰愳愳戳昳晡晥摦㕥㝣㐳摦㤹ㄳ慦㉡扦晣昳㐶㕢㤱换攵㠰㠷〱挲愷㡦换㤶搳昸㉥ㄲ㤸〶㘷晣戱㑥㠳换㍤㠳㥦㔲っ㌶㙡〴㉦ㄹ昸㌴㌸〱㔹㔰愸㉦攸晡て㔲㜸戲㜸</t>
  </si>
  <si>
    <t>CB_Block_7.0.0.0:2</t>
  </si>
  <si>
    <t>CB_Block_7.0.0.0:3</t>
  </si>
  <si>
    <t>CB_Block_7.0.0.0:4</t>
  </si>
  <si>
    <t>CB_Block_7.0.0.0:5</t>
  </si>
  <si>
    <t>CB_Block_7.0.0.0:6</t>
  </si>
  <si>
    <t>㜸〱㤵㤷〹㔸㔳㔷ㄶ挷㜳〳挱〴搴㕥㤷㜱愶㡢㔶ㅤ敢愸愵㡣ㄱㄷ㥣愹㐵㡣㑢㈰〸慥㔸慢㙤ㅡ挸〳㈲〹挱㈴挸愰搲〲敥ち㔶ㄱ㔱㔱㤱挵慡㈰㈰㐵〱户攲扥戴愲㔸ㄵ搱㙡敢㕡㉢捡㌸㌳㥤㌲㍡㡥㝥捥晢㕦慥ㅦ㡥扣搷慦昳晦攰收攵㥣摦㝤昷攴扤㜳捥扢㑦㐱ㄴち挵㌳㔱昸㠴摣㜱昰挶挴㐴愷㑢戰昹攸散㔶慢㄰攱戲搸㘳㥤㍥〱づ㠷㈹㌱搸攲㜴戹㠹㠰㠷搱㈲晡㥤㉡愳搳㌲㕢㔰ㅢ㘷〹づ愷〸愹ㄴち戵㕡愳ㄴ晤ㅤ昸㍦㝤晥㐵㠳㔹ㅡ㜷っ㈲愵搰㜸㘰㘸㠳㐱㡤㐱㠳挱ㄳ㠳ㄷ㠶戶ㄸ摡㘱㘸㡦攱ㄵっㄴ〳捥慢改㠸愱㤳㌸戴敤㉣づ㤳㜴㈳㐲挳㘷㠸㔱㑥㜴搹ㅤ㠲㜷昷戰收㔸㠶㘹戵㍥㕡㥦㐱晤㠷っ昰改敦摤㕤ㄷ㙦㜵挵㍢㠴㘱戱㐲扣换㘱戲㝡㜷ㅦㄷㅦ㙥戵㐴ㄸ㠴挴㐹昶ㄸ㈱㜶㤸㄰摥摦㌷摣㌴搰㑦㍢㜰搰愰挸愱㐳晤㔴〸㜷挰㐸㈱挲㠲摦㈵〸づ㑢㙣㤴㡦㙥㠴昸昷挲㕡攲户㈱攲㈵㜲㌸〴慢〹搷㘸㠲㄰㠹摦昱慡㉤挰改㡣户挵挱愴㥤㘲㜷挴㌸愳〵挱㌵㈶摥㘲愶㉦㝡㘰㜸ㄱㅤ㈰㡢づ〰摡搶愶戳ぢ㤱㤱㤶〸㡢㄰敢晡つ晦㈲挶㈷㝥ㄳ搷ㄵ㝦昳㈴㝢㝢摢愸扦㐴〸㔶㥤㘰戵㡡㈶㘷㍢摢㘴愷㌰挱ㄴㅢ㈵㠴㤸㙣㠲捡㠶戳戸㠹㔲㈸摤ㄵ㙥㕥晣づ挳昸㙢㡥㍤戴扦收㘲晣捦晡戸㌹攴挵㜳挳攰㝥㕦捣戵ㄷ㡤戸摦㑡愳㐹㘹っ㔷ㅡ㈳㤴㐶戳搲㈸㈸㡤㤱㑡㘳㤴搲ㄸ慤㌴㕡㤴挶ㄹ㑡㘳㡣挸㍣㤷扡㑤ㅢ㈵搷搵搳㌷戶挵㡣㑡㌵㘴㘹敦捣扦攵㔳㔵㐷敥㠹攷挶昹㉢㈶愵ㄷ㈵㕣㝢㉦㘴㐹㤸搹㌷㜹晦㘴㍤㘹攰㡥㔶㌳敥㜲挷挰㝢㌷搶㙤㙡㙦ㅥ㕢晡㔴昹㜹㝤扦ㄵち㕦愶晢晥㥥㥡㔷戱㌰戹挳戹㔹㤷挷㕥慣㔷昷ㅣ㕤昲㐸㕦㥣扣搰㝣㡢㈰愳㤱㉢攴〷戹㈵㙥㜳㠷昲捦㝤慥摣ㅣ㍤㈳㈸㈵收愷㤴搰攲㥥㍤挹㉤戹ㄹ㌷戹愳㘸摥攳愴戲㔳㠹扡㡡㡣昸攸愲捣〲户㐸愶〷㘲㔰㙦戲愰慥㜳敥挲ち挵㠹愲攱㤹㠶㥣晡㌶㤶ㅥ戳挷敤㈶愸㌰ㄶ搴㌵戹㈵扥攷㡥㉦ㅥㄹㄲ扤㤵户〳户㌵搵㜷㜲㠶㥤慦㈱摦挹捤戸捡ㅤ㝤㝢ㅥ㌵昶㔶扡〷敤㕥㝡㙦㙤昵捣㌷愷㈲ㄲ㠵攲慣ㄸ搴㕢㌸㈰摦㜲敥㜲㑤㘳搲昹愵㍢㠲㔲ち扢㍤㕣㜰㌷捡㤷愰攲㔹㔰㤷攵㤶戸挴ㅤ㝦晦㌲搲摦戵㈰㈹㌴敢愷㉥㉡㙡㉤㕣㐴敡攵㘶㕣攴㡥ㅥ㥤㍤づ㐷摣搲㡤搹㕥搵㉦昲㠷〱搳捡㄰㐹㜳㔰㙦攳㠰㕣攰㕣挵搳ㄵ㌳㠷㔶㝤慣㉢扦ㄸ㥥㥢㍢摡ㅥ㐰搰㠱㔸㔰攷攵㤶㌸挷ㅤ㝦晣戰㝥㝣㡦搲㠵挳ㄷ慤晣㌹愳愶换㠵㐰昲㡤摣㡣戳摣㤱摥㌱敢㔱搸㤴扣攰㠲㈱昹㠶㡣㌹㙥㐱㉤户㑦换㠲㍡挳戹㌳㔳㠶㜷㑥㙤扡ㄴ㤰敤㔹㤷㕦戶昹㠳愹〴ㅤ㤱〵㜵㕡㙥㠹ㅡ敥㌰晣慤㕢晤㠷㝦㐸て㕤戵敥㑦㜱㠱㑦㉣晢挸㈹戹ㄹ㕦㜳挷换㔷慡㈵搱㠷戰愰㑥㜲敥摦挱搹㍦て晥敡㥤㤰昴扥挵㜱㍤㜳〷㔷ㄱ㜴㌶ㄶ搴〹戹㈵㡥㜳㐷㜱散慣〷慦昸㥦㌲散㔱㈷㥤搸㈰㑣敤㐳㡥挹捤㌸捡ㅤ攷㕦㍢㝥㈹㍤㈱㌹愴㜸㙤昴㙦ㅦ㜹昴晡㘷换㤵ㅡ挶㠲㍡捣㌹捤挴㤲㈳㐷㐷㑥ぢ㉥㥡㝤晢㙤昳㐷戵挱〴㑦っㄶ搴㈱戹㈵づ㜲㐷晥攴㠷戵扤㔳ㅤ㈳搳戶㠷㥥㝡㔶晥㝡㉤㌹㈰㌷愳㥡㍢愶㡦ㅦ㔴愱㝦愳㉥㜰攵㥡敢㥤㉣愵攵㐵㉤㔷㑡挷㠲摡捦戹㙥㕡敦つ㤱敦㌴ㅡ㑡㔷捤㌸㘳搴㈵晡㄰㜴㌴ㄶ搴㍥戹㈵昶㜲挷㝢搷昴晦㈸㤸戸㕢户㑢㥦昲慦づ㈳搷挴㤱㍤㜲㌳㜶㜳㐷㜰搷㙡㥦搵收昱晡㡣㜹搳㘷㌶㡣㝣摣扥攵㑡〵戲愰㉡㌹攷㤹㔲㙣ㄸ㔷搱愸㉦㥣㔰㌹愲慣㜶㙥ㄹ挱ㄳ㤵〵㔵㈱户挴㉥敥㈸㕤搳㐷扤攳㡡㔶㍦㍦㘱摥㥤扢敢㥦捣㈱㍢攵㘶㤴㜳㐷㙣㔶㕤㘱㔲摣㑤晤ㅥ㥦昰晦ㅣ改㍤戳㘳㑢㔰愱㉣愸㌲捥㘹ぢ㔲㥦㌵敤昴ぢ㈹晥摤晥捣扤㡢㠳㡥ㄱ㍣攱㔹㔰㍢攴㤶㈸攵㡥㔶㉤愱㐴㙥㐶㌱㜷昴㡢摣攵㍢散攰扢㠱㤵㌱㜳晥㕡㘲㜶愶戶〴㌵㤹〵㔵挴戹㑦敢㜶㑤つ昸㌱㉡愰㙡敤挷㠷戶㥣昴㌲ㄱ散㌸㔸㔰㠵㜲㑢㙣攳㡥㔶㠹扥㔵㙥挶ㄶ敥挸て㈹㑤㤸敥㥢愶捦㍢搱㉢攱慤挱㕥㡤㠸愴戹㑦㑤挳〱搹捣戹攸㠶捣扡敤愷戳挷收㉡ㅡ摤ㄶ攴㥦散㑡戰〳㘲㐱ㄵ挸㉤㤱捦ㅤ慤ㅥ㌳㜹㜲㌳㜲戹愳㙦㑣㜵晢戱㥤愶㠴㉥扦㜵摦昷㥣㙡㕤㍦㐴搲ㅣ㤴〹〷㈴㠷㜳㠹换攷ㅥ㑡㜸扦挶㜰㈰㙦挸㐶攳捣ㅢ㌹〴㍢㌲ㄶ搴㐶戹㈵㌶㜰㐷慢挷捣㝡戹ㄹ搹摣昱晢㙡搷扢つつ扡㠰㥣㥣捣ㅦ㔳㌲㙡㥢㕡㙥㕦ㄴぢ㙡㉤攷收㕣摣ㅡ戸㍡挸㌰㙡㝤㕤㠷ㄱ晥㕤㐶戵㈵搸㈱戲愰搶挸㉤㤱挵ㅤ慤㍡晡㙡戹ㄹ㤹摣昱昲㉥〱㤱㌴㕦㈹ㅢづ㐸〶攷ㄶ愵㡤㙤㜸ㅣ㔶ㅢ扣昳㔹㡦㠰㘳㥢㥥㐴ㄱ散㔸㔹㔰㉢攵㤶㔸挱ㅤ攷㌶㤷㝦戲㉥捡㍤㈴挷敦㠳つ㠷㍢㍣㑤㈳㥦挹捤㔸捥ㅤ㉦摦扥㤶㍥攵㘴㐱愵㜱慥挷㐷敤ㅥ㑦㝦㉤㜳㑣㐹㜶㔴㔸㘹搳㤳慥〴㍢㘸ㄶ搴㌲戹㈵㤶㜲㐷慢㤶戰㐴㙥挶㘲敥㌸昷㝡散㐳㔳搲扤ㄱ㐵攳ㅥ㉦㝢愰慡摢㠶㐸㥡慦㔴㈲づ挸㐲捥昵㥢㥢攵㜷扢昳搱搰扣愰㠳敦㔷㙥㍦摣愴挲㜶敢晦摦㙡攲㉤㐳挳㌶戸攲㡥摥愹戲㡤戶㍢㥣㙥㙥㔲㙦㌱㝡㤳㌳摡㘵ち户ち扦攸挴㑥㔵㌳〷挳㕣㜱㈰搸㙥㈱㌰㑤ㄲ㠶㑦㘰挲㘶㠷㤹㍥㠵㈹ㄹ㈶㙣㌵㤸㈹〵愶㔴㤸昰愰㘷愶㜹㌰捤㠷〹㡦㔹㘶㕡〰搳㐲㤸昰㤰㘳愶㐵㌰㉤㠶㐹昷摣戴〴愶愵㌰愱挱㌳㙡ㄹ㑣㘹㌰愱扤㌲㔳㍡㑣换㘱㐲㜳㘳愶捦㘰㕡〱ㄳ㕡ぢ㌳慤㠴㈹〳㈶ㄴ㌶㌳慤㠲㈹ㄳ㈶㤴ㄵ㌳慤㠶㈹ぢ㈶㈴㌵㌳慤㠱㘹㉤㑣㐸㈹㘶㕡〷㔳㌶㑣㠹捦㑤敢㘱摡㈰づ敥戸㜲扦㜸㝤戱敤昲っ戶㥢捣愳㑤ㄱ攲㕢㕢ㅢ晥捥愶搶搹㙤㜱㈶㠷攰愰戸㑤㍡扢㔹ㄸ攷戰捦戲㤸〵㠷ㅡ㠶㠹攲扢愶㍢㙥戰㐷㤸挹ㅡ㉦㠸戱㠸㉦㌳㉡㤵㤷㕡㙡慤挰攷攷敡㈵昱㉥ㅢ搸敡晣㡤攳晤晣挵愰ㄴ㥥㥥㈸〹捤㐶っ㌹攲㐰㤰〰昸㍤㉦〱㥢〰攴㡡〳㐱㑥㐸〰㜹〰昲〱㈰㕦㈴㠰〲〰㥢〱㈰㠵㈴㠰捦〱㙣〱㤰㉣つ㙣〵㠰搲㈲挸㌸㠹㌳ㄴ〲㈸〲㠰㙣㤴〰戶〳㈸〶㠰〴㤵〰㑡〰㤴〲㐰昲㑡〰㍢〰㘰扦㑤㤰捦ㄲ挰ㄷ〰捡〱㈰搷㈵㠰㥤〰㜶〱㐰晡㑢〰ㄵ〰㉡〱愰㌴㈴㠰㉡〰扢〱愰㕡㈴㠰㍤〰昶〲㐰㈵㐹〰晢〰散〷㠰攲㤲〰扥〴㔰つ〰㠵㈷〱ㅣ〰㜰㄰〰㙡㔱〲㌸〴攰㌰〰搴愹〴㜰〴挰㔱〰㈸㕤〹攰ㄸ㠰攳〰㔰搶ㄲ挰〹〰㈷〱愰搲㈵㠰慦〰㝣つ〰㕤㐰〲㌸〵愰〶〰ㅡ㠳〴㜰ㅡ挰ㄹ〰㘸ㅡㄲ㐰㉤㠰戳〰搰㐷㈴㠰㙦〰㥣〳㠰ㅥ㈳〱㥣〷㜰〱〰摡㡥〴㔰〷攰㈲〰戴㈴〹愰ㅥ挰㈵〰攸㔲ㄲ挰㘵〰摦〲㐰〷㤳〰慥〰戸ち㘰扤㌴昰ㅤ㠰敦〱愰攱㐹㥣攱ㅡ㠰敢攲㐰搱㑡㈰㡡㜶〲㔱昴づ㠸收戲て昱〰捤〲愲㘸ㄸ㄰㐵㜷㠰㈸㍡〴㐴搱づ㈰㡡㤶〰㔱搴㍦㐴搱〳㈰㡡㠲㠷㈸㡡ㅥ愲愸㜰㠸愲捡㈱㡡㤲㠶㈸捡ㅡ愲愸㘱㠸愲㡥㈱㡡愲㠵㈸ちㄷ愲愸㔲㠸愲㔲㈱㡡戲㠴㈸㑡ㄳ愲愸㐳㠸愲ㄶ㈱㡡挲㠳㈸㡡て愲晢㥡㍦ㄵㄴ搵〶㔱㤴ㄶ㐴㔱㕥㄰㐵㉤㐱昴㈰晢㄰て㔰㍣㄰㐵〱㐱ㄴ搵〲㔱㔴っ㐴㔱ㅥ㄰㐵㠹㐰ㄴ昵〰㔱搴〴㐴㔱〰㄰㐵ㄱ㐰ㄴㄹて㔱㘴㍤㐴㤱攲㄰㐵㥡㐳ㄴ㌹つ㔱攴㌵㐴㤱挴㄰㐵㈲㐳ㄴ㔹ぢ㔱㘴㉥㐴㤱愶㄰㐵慡㐲ㄴ㜹〹㔱攴㈶㐴㤱㠸㄰㐵㌲㐲ㄴ㤹〷㔱㘴ㅦ㐴㤱㙡㄰㐵扡㐱ㄴ戹〵搱敢散㐳愱昰晡㉦戱㈹㡥捦</t>
  </si>
  <si>
    <t>㜸〱捤㕤〹㜸ㄴ㔵戶敥㥢愵㐹㜵〲㘹㌶挵〵㑤㔴㐴戶㤰㠴搵㠵〹㈱㈱ぢ〸㠱㠴㔵挱㑣㈷愹㈶つ㥤㙥攸敥㐰搰㔱ㄶ挱摤㔱㜱㐳ㄱ㐵摣㐶㐴ㅤㄵ㐵㐵㐷捤愰戸愱愳㙦㥣挱㠵㔱㜴ㄴ昷㙤㕣挷敤晤晦改㉡㔲愹慥づ挱㌷敦晢愶愴㑦㥦㝢捦㝦捦扤攷㥣㕢搵户㑥摤㡡㉥攵㜲戹㝥挱挱㙦ㅥ㘹㘴づ慦㔹ㅡ㡤改㑤㜹㈵攱㘰㔰慦㡦〵挲愱㘸㕥㜱㈴攲㕢㝡㜲㈰ㅡ㑢〵挰㕤ㅢ㠰㍣㥡㕥ㅢつ㥣慥㘷搴㉥搶㈳㔱㠰搲㕤慥㡣っ㉤〵昲㐳㡣㡦搷㉣㘸㙣愵愵㤱〰攵搲摣㈴㕤㐸㌲㐸㌴ㄲて㐹㈶㐹ㄶ㐹㔷㤲㙥㈴搹㈴㕥㤲敥㈴㍤㐸㝡㤲昴㈲改㑤㜲㄰挹挱㈴㝤㐸搸扦㜶㈸挹㘱㈰㔹㠷㠳㑣㉢ㄹ㔷㔵㌷ㅦ搶搴挴挲ㄱ㝤㜰捥㡣昸㤸挷ㄴㄴ攴ㄵ攴㡤挸ㅦ㔵㤸㤷㍦㌸愷愴㌹ㄸ㙢㡥攸㘳㐲㝡㜳㉣攲ぢづ捥㤹搲㕣ㄷっ搴㑦搴㤷㑥ぢ㉦搰㐳㘳昴扡晣㘱㜵扥攱愳ぢ㠶㡦ㄸ攱㍦晥昸搱改㌴慢戰㔴慦て搰㝥㕤㡦〴㐲昳昲㑡挶攱㥦愵㉦㤴㐶挱㤵㤱㠸ㅥ昴搱㤷搵扡㥦昶ㅥ搲㔴ㅣ㡤㌶㌷㉤㘴㔵挱捣㜰㘴㐱戴㔱搷㘳攵捤㠱〶慦㔵挲ち㉢戴㌰㈹戴㤰搰慣愶㤲戰敥昷〷敡〳㝡㈸搶摢㈸㘰㝣㈸愱㕦搸㍣㉤摣慤㘹㝣㑢扤ㅥ㉣搱㠳㐱㔴㐵扢㌶㑤㡦敡搵扥搰㍣㝤戲慦㐹㑦㙦愲㤶㔴ㅣ慥㤴㌴㔷㙡愶㌱ㄳ㔸搹ㄹ摥㕤搰ㄹ㘷戴敢㥦挱㔱㔶摤慣㐸㝢〷㜳搲㕡挹㜹㤱㔲敢㑢愹慤㑢愹慤㑦愹㙤㐸愹搵㔳㙡晤㈹戵昳㔲㙡ㅢ㔳㙡〳㈹戵昳㔳㙡ㄷ〰㘳ㅥㄹ㕤扡愴ㄸ挷ㅢ㍢昷晣㘱挱昸㤵ㄳ慦㉡㜸㙦搵㍢㜹㕢㕦㔱㙦㐳㌷昵敦ㅥ昲改摦摥㜹昴慥攲ぢ㝦摣扢攸摤捦搷㔴慢㍤㠶㈰愱挵㕢㠶攰攵挳㐲摦晡捥晣㜰摣愶㈹晦扥昰搳昴㔷晥㌰㑣㡥㡦㡡㍣㕡㉥㍢㔶晦㌰㜰户㜹㍥㍢㈹㙦攲搱㘵换慢戳换㠶㙤㔹㜵㡤攲捣攷㕣㔱扢㤳㜵昱㠶㈱昸捤㥢ㄵ㕦摣㔴昳㘰挹㤶㡡ㄵ摦㜴㉦扤㝡愱㝡㍤㔹㡢搷っ挱挸ㅥ攱ㄷ捡㌷㡣㉢㕥搷㉢㙢昰㝣户晡ㄷ㐷攲㜲晤〵㠳敡㑦㐶敤㌲㜰搹㥢㔷捦㤹㕤昳晡㠴慢㉥㤹㔳户㌴愷收攲慣〱㤰㑥㉥ㄹ㌷㈵㠲㔹昰ㅦ㍡㈱戲〶㔲㘷ㄵ㑥㠱挹㝡散㍦愵㜳㄰㜴㐲㘵㘹戸挹ㄷ〸晤㠷㤴愶昳㌲㌴愲㌳㤳戵敤㉣㌵捥ㄸ戹㘲㌵㤵㐶㘳㔳㝣㤱愶㘸㔶ㄳ晤愷㐷昴㔰扤ㅥ戵㥤㕡ㄹ㑤㌳㝣ㄱ㥥㔵㘹㘴戲㥢攲ㄷ㠵捡〶㥣㡣㠱搸㔲愷ㄳ㑦愵愵攱㥦㉢戵扦搳挸㈴㔰㜹挵搱愶㤲㐶㕦㈴㈶㈵㠶昰搷㥤㜲㌹戶ㅥㄸ戳㥡㐰搳㐴㍤ㄲ搲㠳散㠴㤱ㅣ㘴〳挹愵㉤ㅥ㠷㝤搷㌸搳ㅣ㐶㈹攱㍣㜶て㐶敤攱㤳挳㤱㈶㕣㑤㈷改扥搰㤸晣扣㘱愳〷搷挴ㅡ㑡昵挵攰昳㠷㘹㐳㠰搰昲㐰摣㐳㐱づ㠵愳〲扥扡愰㥥㔳ㄲ㡥挶愲㌹〵挳晢攷㤴〴㝤搱㘸愰㕥换㈷戲〰㐴愹ㄷ㡣㌹晤挹㔱㥦扤㔳㜲㝡㐶挵㐵㝢㥥昰㍦㜳㕥昹㐶挵ㅦㄶ㌹搱㜶㈶㍢㙤㥥㌷〴㑦㜷㍢㝢收挳攵搵㔵㝦㝣㝢攰捡㐷户㠵收愸攷㤲戵㜸搶㄰搸㑦戴戶戳㝦ㄴ㝡㜵愹愷つ摣昹㌹㥢㈷㝣戲收㜷㘳搷㍥㌹昱㥦㑦敦㈸㝢㔸昱㠷㑥〶戵㈳㔹ㄷ㑦ㄹ㠲扢㘷扦㜱昱戶㉢户㔶㙥慣捤㕦搳晤挸搴攷搵㤳挹㕡㙣㌷〴㜳愶㡥戸扦攲昰㔷㉡㉦扢晡慤㥥㠱扢敥摤挴㤱挴捦晥㌱㘴㔴慢㠱ㅢ搵㜷攷㡢摥ㄵ搷㑤摣扡戰攸㠱㑤㑦散㝡㐱㜱ㅡ昳㈴㜰ㄷ㠱ㅣ㍡㍤ㄴ昰㈳㑡㠳㈷〵㐲㘳㠶㌰㉥㠳㈷昹㕡攲〱ㅡぢ戹㔶㑣攴㌸㤰㝥昸愹㘸〸㌷攵ㄴ㉦㕣ㄸ挱敦㡡晣愲つ㉤搵摢ち㌹㠵昹挳㠶㘹㈵㙣㔴ち愲搴㌶㘳〴愹㝢敥㝢慢捦㡣慡攲㡤㐳搷㝥㝤㜷㜹搷敦ㄴ㝦〵㘵〴㘵㘰㍡ㅡ㐱㌹㤵㔵㠰戸㉢㐱㍡㌳㠲挲㔱摡〴㌶㥡〸愲搴ㄶ㘳〴㘳㠶㥦㌴愸晣〸㙦搹ㄵ挳搳〶慥扤㜵敦ㄵ捡〳戱㡣㘰ㄲ㤸ㄳ愶㘱收㠵收㌵〷㝤ㄱ㜱㐳㘱扥㜱っ㍥㌹戰㐰て〶昴㘸㙣㑣㘱挱㠸㜸愵戸愷㜰戸㔱搲㈶戳戳㉡㄰昷ㄴ㤰挳㈷昹㐲捤㝥㕦㍤搶ㄲ㔸㄰攴㤴昹敡〳㐱㥣昰㌹㔳㈲㠱㝡㕤㥢㑡㙣㌵㠸㔲㜷ㅡ〳扢敡晣㈱㐷㘶敤ㄹ㕦戹㜹㘷摦敥㔵摦㙡㍤㔴㈶挴㌲㘳㌶ㅢ㠸㠴㥦愴㍢っ挱㕤㠳ㅦ㍤敡て㤵㜷㑥搸昸㝡挶ㅤ㔳挶ㅦ扦㔳㙤㑡搶攲㜶㐳㌰攰愸敤戵挷愶愴㑤㜸昰㠲て搷晥㘹搱㤱戳摢愶昱㉣昴敡㔲户ㄹ戸摦㠵㕡㉦搸扢㑢㍦昹扡㉤捦昵㔹愷㠲挵㡡换㌲昱搶㈹㘰㜲摡㥦搴昹㈳ち㐷㔸㑥敢㠲㠲ㄱ摡愹㐰㘹㜳㐰摣㜳㐱晡㑥慦㐱㤳愶㐰挸ㄷ捣愹っ挵㜰挱㡣挶㜲慡㝤㌱ㅤ昳愵㜰愴㜶ㅡ挱戵㈰㑡㙤㌰晡ㅦ攸摦㌲㙣捣攳㈷㔵㍥戰攰㡣㑦敥㙣㠸慥㔴㕣ㄱ㑡晦㍥㌰㝤㑡慤㔳戶㘰㜴㝥㍣㈲㠵昹㕡ㅤ㔵搵㠳戸ㅢ㐰づ㠲晡ㄱ㌹㌵扥愰ㅥ捤㈹㉣㙣扢㤸攸㐴昹㐱㤴扡挶攸㜰㑢挹晡挵㈳㐷㡣㉦晢晤㐹㐳㍥散㔲㌷㜵愶攲敡㔳㍡㙣〴㤳㘰昰㈸慢挱昹愳㐷㘸〱慡㥣て攲㕥〰搲愱挱㈳戴㈰挱㑤㈰㑡慤㌱晡て㕤昵捡敤㘷㉥㝣扢攲愱扣扡ㅦ晥㝣散愲ㅥ㡡ぢ㕦㤹〵㤷ㄹ㠸㠴㔹㜰愹㈱㤸㝣㜴捦扤戳㈶㕣㌸㜱晤㉤㕤㔶扥搹㙦捤㘹敡㤲㘴㉤㝥㙦〸㌲㔶晣攱㜷㝤㔳晡㤶慤晡散换㍢㉥㕤㥢㜹づ扡挲挱㔵㐳㤴㡣扡挸挰㥤㜹捦愸㤴捣ㅥ慢慡ㅥ搸㜶捡㕢晤㘳㤷㥦愷戸㄰㤷㐱㕤㤸慣㡢ぢっ挱搲换㌷㥤㜷㜰捤摣〹攷捣摡㝤捡敡㡡摡戰㍡㍦㔹㡢昳っ挱捦㕦敤㡣搵㥤戸戴敡搶挶㔷㕣敢㥥㍤敢㔳扦ㅣ㥦㘲㔰㑢㘵㔰攷ㄸ戸搸慥㉦㕡㌲扦ㅥ㕢㜲捥㡥㉢晦敡摢戵昸㔴挵ㅢ〳㠹搴ㄹ㘰㍡扡㤴晣づ㜲敤㑣㄰昷㔹㈰㥤扡㤴㡣搴㤶戱搱㜲㄰愵㤶ㄹ㈳搸㌱扤愱㝡㘸㐳捥昸㌵摦㝣㔵㜲搰摥㜷ㅥ㔷扣㉢㤱ㄱ慣〴搳搱〸捥㠶㕣㕢〵攲㕥つ搲㤹ㄱっ㉢搰ㄸㅥ敤㕣㄰愵㕡㡣ㄱ㥣㌰慦愵㜹㜳搵摣搲㉢攷て搷㥢扣〷㝦愲㜸㑢㈴㠱㔹㘲㈰ㄲ㘶换㘲㐳㤰㌰㕢㥡㤳戵㠸ㄹ㠲㡡㥤愹㍦っ晡㜸㐵挹㤶㥢㑡㝥戸攳挸晡㐹㙤㠱戹ㄸ扤扡㔴挴挰㙤晦昲慥㜷捦捤戹愴㜸昹攷㥥㌵敢㜶㑦㝢㔴昱ㄶ㑤摣㜲〹ㄸ摢㐲㘰戸昵〴ㅡ愶㕤ち㠴㜶ㄹ㠸㝢つ㐸挲㐲攰昸戶㜳昷㜲㈲慦〰㔱㙡㠱搱昱㌷搵愷晢㉦摤扢扢昴昷㙢㉢晥ㅡ㝣攳捤挷ㄵ㙦ぢ挵ㅢ昳㤳搹ㄶ㌰〴换㥦㥦㝥晤扣搰收搲㐷㍣愳㝥ㄹ㔷戹收㌹搵㤸慣挵㍣㐳戰㜱昲㕤㑢收っ扢愸攲挶ㅤ挷㉣改㌷㌲昳攳戶㉢攸戵攸搵愵㜴〳㜷㐹搹摢愷捣㙡摤㍡改㤱㡦戶㍥昳改ㅢ扦㘴㈹摥愶捡愰ㅡ㤲㜵㔱㙦〸㡥㝥㙢㔲搱㥣昵搵㤳户ㅤ㜵摣挳愵晤㥦晣㕣搵㈵㙢攱㌳〴ㄳ㘷㡣ㄹ晤㤷㍢㕥㤹㜰㘳摦㜳搷て㝣愲戲戲㙤㔰ㅢ㘴㔰戵〶敥摢〹㐷㡣散㜱昸㡡戱㙢㍥㥣戸㈴㔲昳收㑥挵摢㘶ㄹ搴㘹挹扡㤸㙢〸ㄲ㔶㈷㜳㤲戵㌸搵㄰ㅣ㜳搵つ晥ㅤ扤慦愸㕡晤挲挷ㅦ㔴㉤㝢㘱㕥摢扣戹㔵〶㌵摢挰摤㌶㙥摡㤳ㅢ㑥ㅡ㕤扣昲扢㡦㔶捣㉥㝦晥㐵挵摢㜸ㄹ搴慣㘴㕤捣㌴〴〹㔷㤹ㄹ挹㕡㑣㌷〴㜶㑦㜱㈴昱㑢摦㘶㌲慡挶挰敤㕤㤶晢摣攰㥢捥㉣摤戴㘳昷㜹〷敦昱っ㔴㑣㉢挸愰慡㤳㜵㌱搵㄰㑣摥㌲㝦㠱㙦敦挶挹慢ㅢ搶敤㉣㥥㍦晣㘳㌵㈵㔹㡢㉡㐳㘰扦ㅥ户㠵敦㕥ㄹ搴㈴〳㜷挳㔹㈹戹㜷晦戶愶㜲搵㐹愷捤摦扤攱扥㐶挵㌴㠷㥣㘱㕢挰搸㝥ㄵぢ攳扦㡡〵㈳昳戵晢㈱搵ㅥ〰㜱㙦〵戱晥㉡ㄶ㡣㙡㍢戳ㅥ㈴敡㈱㄰愵捡㡣づㅢづ㜹收㡣捦㝤扢捡慥晥昱敡㥤㤷㑦捦敥愲㤸㔲㤱づ户㠱改攸㑡昷〸㤵㍤ち攲晥ㄳ㐸愷慥㜴昹摡㘳㙣昴㌸㠸㔲㐵挶〸捥昸搳㔹㜷摣搰攷扡㡡昳㝢扦㔴㔳㝣昶㤰㌹改扣搹㍥昰扢ㅥ收愲㌴㐹㙦㈰㥦ㄳ㑤㙦㉡ぢ㐷愲愹愹㑥戹慥ち㕦戴㌱挶㥢㤰㡥㠵搴搷㑡昲㘷㄰挵㥢㙤づ㑣摢㑥昲㈴㐸搶㔳㈰㔳㡤っ㑡㘹挴户〴㡢挱戶摢㔷㈴㥣昸摦晥㤳㑥挸㌹昹㐷昸㐷昹ぢちㅡ㐶攴晢㠶昹搲㠷㐰㙤㘷㙦㄰昹㙢㥤攵㥦ㄹ挰㥡㝤㠹摣㌱ㅥ㍥捥ㄷ搵摢㙥㈰〷ㄹ戲㜱攱收㔰㐳昴㌰㘷㘱㑤っ敢戴㐳敤戲㌶㈵〹捤㙡㤰〹搳愳搲摦ㄱ昶㘶㌳㝣挱㘶扤戸㈵㄰ㄷ昷戵㠹㜱㌷ㅤ慥㑢㉥㉤㡢攸㡢昶㐹ㄳ㐶㔴㡣㕣攵㘲搱㥤㘰㘵㕣ㄴㅦ㔷㑥㐹㘳㌸慡㠷㘴㜸㠳㥡愶〴敡ㄷ攸㤱ㅡ㥤㤹㑥扤㐱㑣敤㑤㤱㜱㑢㍦愸㉡〴㐳㤱ㅤ㙢㌸捡㕡敢ㅦ摦ㄲ搳㐳つ㝡〳挶扢㔰㡦挴㤶㑥攳㝣㌹愸ㅤ㈴摥㈷〴㠷戴慢㉥ぢ搷㌷㐷㑢挲愱㔸㈴ㅣ㙣㉦㈹㙥㔸散㐳ㅡ愱㘱㔲戸㐱㐷ㄶ㈰㡤㠷㑢戹㔲㔳㤵㜲つ㜴扡ㄵ愷摥㘸㥥〴挲ㄲ㘲㈶〵晡戴㥦㜶㜹搵戰づ㔶〴㜵捥挹㤴㘳昶愳㑣昴㔲捤㠰攴㐰㡢㑤㑣ぢㄳ㝤㕣㜲戴㡣㜱㕦攴晥㝦挱㈹㈹㍤つ敢挷㉦㐶慡愵〲㌷慣㐱㍤攲㜴㉥敦㑢㙡㉢㡥㐸摢〱㤲㍥ㅡ㔷㥤愴摥㑢〳㐲戵愸愵改㑢〲つ戱㐶㜷愳ㅥ㤸搷ㄸ㐳ㅤㄲ摦ㄹㄹ㜴㙤挲愱㍤㠳㉡敤㔹㤲攷㐰㍣ㅥ㤷晢㜹㠲摣ㅥ㙤㘷扣慣㤸晣㤰㉢挷ぢ㘰戴ㄷ㐱搲昳㐱昶㥢愱攱敤㐱ㅡㄳ㔱㕤㥢㑡㜵扦て戹㙢㌹户㤴㉦扤㈹㥥捡㉤搵愳昵ㅡ㔳㑦㤵㤸愹㉤㙥㜰㌸昵㤸㈱挶晤㔷㑢慣搴ㄷ昳㜵㘹㐲ㄲぢ㍥搲〰ㅡ㈴慤攲ㅣ㕢㜶㤵㍡戳戵挷㈸㐱㠳㔷㔸㡢㤶㑣愹㠸㙢挲戴挵㙣㜵愵ㅡ戴㘳㈳㌰昶㠱㌰挲㙤㥦㘶敤㤳㔱捣㌸㤴敢愱㘹㑢ㄷ敡㔱挲㌳摣㑥戱摣㜷搱戶㑦㙥㉡慢慡慦㥢ㅥぢ〴愳㜹ㄸ㘹㜹㈴摣扣昰㍦愹㠷扡戴扦㠰㤸㐷晡㔰捣愱捥摢〴㜷戹扡㉣㘶㙣㙡㙢㕤ㄹ搴挶ㅡ㙤㈸〹攷ち㤴晤㠲㉦㌹戴扦攲换搳㤱㉣㥤ㄹ戲〳㐹摣昱户㍣慢〹ㅥ㥡ㄶ搱攵ㄹ㐰㠶ㄴ攰敤慥㑤㝣搸㔰ㄷづ㉦攰㝣敡㈶愵㝤㑦㈹㌲㡤㜴㈶ㅦつ㈸愵㔲㤳㍥㉢ㄸ〴晤敥㕤㈰㕤㡢㠳挱ㅣ㔳㘳搴晤㉡慡㔲㤱㘸㜴扦〶收挸㘹昸㜵挴㐳ㄹ㍤挷敦〳ち㌷敤挳㜳㙡ㅡ昱㠸㘲㐸㐱㕥㑢㌰摡愲晡挱〹㑣摡㈷摣搴ㅣ㘳〸ㄲ㔲㠱㑣捡挹㘹戵ㅢ㡣昶て㄰㌵挶慣㝡㤳㔵㙦戱㙡㉣〸㝦㔰戵㍤㉣ㅤ〱㘵扣〰㠰㙦㝦㘸敦愰慣晤㤳攴㕤㄰㥣挶ㄲㅡ㥣挵㝢攳㐵㔵㡣㙦改敥㝤㠲㍥〰㔱㈵㈰㍣㤳戵て㐱捣㐳昵㠶㝥㑥㄰㠵ㅡ㙤ㅣ㐹㐲㤰㍦㐵慤愷㈳㤹㉡〵㠲㠱搶攸㔸㡤慥搴攸㐶㤵〹挵㡥㙥昲ㄸ㠲㠴㉣㕣㌹㥡㠹〳扥㘵晢っ挰㥣ㅤ昰㍤晢昸㌷挹て㈰ㄶ〷晣ㄴ㉦㉡㈶攸挴〱㍦ㄳ㐴ㄷ慡〹㈰攲〰㤹搱㈸昰㔰扦晣㙣㜱㐰㈵㙡ㄲㅤ挰挷㤰ㅥ慤〳㤹㥡㠸㜶㑥づ昸ㅡ捡ㅤㅤ昰㤵㈱㐸㐸〲㑥㠶㈶㜱㐰㔷㜴慡扥〴捣搹〱搹㄰㙢㕥㤲敥ㅣ㕤摢っ攸ㄹ㉦慡㉡㈸捡愵㌹扤〸敡つ愲愶愲㈸づ㌸〸㈵昳㔰ㅦ㔸ㅤ㌰〵搵㠹づ㌸ㄴ㜸㡦搶㠱㑣㔵愳㥤㤳〳摥㑣收㠰㝦ㄸ㠲㠴㘴攳㉣㘸捡攵㈸㡥㐶愷摡㌱㈰敡㔴ㄴ挵㈷晤㔸㝡㉤愹㑦晡戳挵㜱㈴〳㐰㉣㍥ㄹㄴ㉦㉡收晦㜲愹㝢㌰㐱㐳㐰搴㘹㈸㡡㑦昲㔰㌲て昵㤲搵㈷㜳㔱㥤攸㤳㐲攰㍤㕡〷㌲㔵㡢㜶㑥㍥搹㤱捣㈷㑦ㄹ㠲㠴㕣㘳ㅤ㌴㠹〳㑥攴㤰户㈷㜵挰ㄸ㠸戵摦㤰ㄴ㜱㜴㙤㤳愲㌸㕥㔴昵㔰㤴㑢㜳挶ㄱ㔴〲愲㜴ㄴ挵〱愵㈸㤹㠷摡㘶㜵㐰〳慡ㄳㅤ㔰〱扣㐷敢㐰愶晣㘸攷攴㠰㝢㤲㌹攰㡦㠶㈰㈱昷ㄹ㠰㈶㜱挰㔴づ昹慥愴づ愸㠱㔸㥢㐶㌲㥤愳㙢㜳挰捣㜸㔱捤㠷愲㕣㥡㌳㡢愰搹㈰㉡㠸愲㌸攰ㄴ㤴捣㐳摤㘲㜵〰㌳愸㠹づ㌸つ㜸㡦搶㠱㑣㌵愱㥤㤳〳搶㈵㜳挰戵㠶㈰㈱昹捡㌴㘸㉥㐷㌱て㥤㙡㡤㈰㙡愹㔹ㄵ㘰搵㝣㔶㌱㥦㈸㙥㕡挰搲ㄵ㐹摤搴挴ㄶ㈱㤲㌰㠸挵㑤㡢攲㐵㜵愶愹㍢㐲㔰ㄴ㐴㉤㐳㤵戸㈹㠶㤲㜹愸ぢ慤㙥㍡ぢ搵㠹㙥㙡愱㑥慤〳㤹㕡㡥㜶㑥㙥㕡㤱捣㑤换つ㐱㐲摥昳㙣㘸ㄲ〷慣攰㤰捦㑡敡㠰戳㈱搶㔶㤱慣收攸摡收挹戹昱愲㕡〵㐵戹昸㘸攷ㄱ㜴㍥㠸㍡〷㐵㜱挰〵㈸㤹㠷㙡戶㍡㘰㌵慡ㄳㅤ昰㝢攰㍤㕡〷㌲㜵㉥摡㌹㌹㘰㐱㌲〷捣㌷〴〹㘹搷㡢愱㈹㤷愳戸ㅡ㥤㙡㙢㐱搴愵㈸㡡㑦慥㘱挹㥦搴㈷敢搸攲㍡㤲昵㈰ㄶ㥦摣㄰㉦慡换㑣摤ㅢ〸扡ㄱ㐴㌱昷㈹㍥搹㠸㤲㜹愸戹㔶㥦㌰㝤㥡攸㤳㕢愹㔳敢㐰愶㤸㔱㜵昲㐹㑤㌲㥦㔴ㅢ㠲㠴攴敢戵搰㤴换㔱摣㡤㑥戵㍦㠲愸つ㘶搵㍤慣扡㤷㔵户㥡㔵昷戱㙡ぢ慢㌶㥢㔵昷戳敡〱㔶㌱晤㤵㡢㡦戶㤵㔵て戲㡡戹㉣昱敦㐳㉣㤵㈵昵敦㌶戶㜸㠴攴㔱㄰㡢㝦ㅦ㡢ㄷㄵ昳㘱戹搴晤㌸㐱㑦㠰㈸㘶挰挴扦慤㈸㤹㠷ㅡ㘳昵㉦ㄳ㘸㠹晥㝤ち㜸㡦搶㠱㑣㍤㠴㜶㑥晥ㅤ㤶捣扦㠵㠶㈰㈱〵挷捣㥡㌸攰㐵づ㌹㍦愹〳㕥㠲㔸㝢㤹攴㝦㌸扡戶㤳敥㤵㜸㔱㍤ち㐵戹㌴攷㙦〴晤ㅤ㐴㍤㠶愲㌸㘰ㄷ㑡收愱晡㕢ㅤ昰㈷㔴㈷㍡攰つ攰㍤㕡〷㌲昵㌸摡㌹㌹愰㙦㌲〷ㅣ㙥〸散ㄹ挰㌴愶摤㍡扣〹散〲㠰攷攴戰慦〱て㕦戱攱慢㡢戱摤㉢愳㈴摣戴㄰㜷扣ㄱ㉦㙦ㄷ㑢㤰㘷㐱晥㘶㜱愰㐱㡦㘴戰愲〶摢搹搲㤸ㅤ㜴换慤㌲㝥〲戰て㉡㍤㍤㌳挳愹慦㑡㔳搷㌱㐶戶挱扡㕤慥㌲㐱晦挷㔳㐷ㄷ㘱㔰㠸㐲㉡愸昶㉥ㅤ晥ㅥㅤ晥㘷ㄴ㘹㡦つ戰㤷㠰昷〹搸敥っ昸㠰㠰て〹㜸搲ㄹ昰ㄱ〱ㅦ㠳愴敦〰攰〰ㄲ㐸㤹㠰㙢晥ㄹ〱㝤〹敦戹扢昹戱㐱慣愴㌹ㅡぢ㑢㠲愰慢扦㌴㍣㌹ㅣ㉢つ㐴ㄷ〶㝤㑢㝢晡つ㘶㘶愳ㅥ㐲昲㉣㠲ㅣ㥡慤㉥扣㜰愱摥愰昹㙢挲捤㤱㝡扤戲昴扦㈱戹〶晢攰㌶挹慢愵攰摥㔵晤扡㝣㤱ぢ㉤ㄱ㑥ㅣ慥昴㘷愰搰㥥㜸㤰摤㌲㤶ㄴ㥤戰㕥〰戳摢㍣㍡㉤㄰ぢ敡㤹㝥㐹㡦〹㥦攱㠷ㄷ㤱㤱㙣攸攲㥦搶㠸ㅢ昲搲慥晥昲㐸愰㈱ㄸ〸改っ㐶慦㌸昴㘴㝤ㅥ戲㡦㔳挲搱〰户て㜶昵㑦㡢昸㐲㔱㑥散㔰晤搲ㅥ敤㑡㌲㤱搳晤攳〲愱㈸扡㤱㈸㤲捦昶搷㌴㠶㤷㘰挶㌶㌷㠵捡㝤ぢ愳晦ㄵ㔱挱㔴㌵づ〹㡤㑡㔱㈹㈹㉡㈳㈵攳搷挶挷晤〹㌴昶㡣㙦㔴挸挱㍣㡤㐵〲㜵捤㜴㤸昴㔲〸㥡㐶㈲㌱㜴愵㍦ぢ捥㥥戴戱㠴搰㤶敦攴㔸摢敤晤㜲㝣㤲戰㉦挱㌸〰㜰敤㔳㌴捡晡っ㘴㐲昹昴捡戶㈷〱晦户㉤愸捦㐱㜳愷ㄳ慦㝣㉡摡㉤㍥㠵㤸㡣攵㡣挲㤹㠹㤹挰㤲㝤㕡㝡晣㠲攱っ敤搶挶㤶㈱㝢㤸攵㍦搹㔷愷〷昱〴愵挹ㄷ敢ㄶ㉦㌰昷㡢㕤㕥㔱㐳㠶㡢㘳㤳㡦㔳㡥㝢搵㙡敡戱晦㈲挳㕦摣ㅣぢ㘳㠳㤱收〷㤱㜹㘹㔴昹㕡㔰攵㙢㤱慡㉣㝦㌵ㅦ㐵挴慦扦搰ㄵ㥥㠷つ㘱戱挶愶㐰㝤〶ぢ㝣㕣昰㕦㌱㔷㜱晤㐸㠳㌳捤挳扣㤶搸昳㥤昱慣㈳挲㥤㠷〴㍤㕤挷昰㘳㐶愷㈸㌷晥㔳扦㌲㔳㡤㉢㡦晣晥㙡㕦㐰㕢㝡ち〶挱㑢㤱ㅣ㥦㑢㕥〹散攷换㔰㈳ㄷ㈷戵㤳〰㝣戴㉦㐱挹挸攷〵㌰づ扦㍢晦㠲㔰晢㡡㐰㘶愲ㅤ〰㕦ㄳ昰つ㐸晡㕦〰戰ㅢ摣㍥㜵㡢〴慦〶㔰㥡㙣㠲㘴㔲㌹〳〹㔸挹㐶愷㑢㠴㌳㉤㔹㘴㜷㍣㠱㥣㘱敥慣㜴搷㘰敡攸つ㥥昸㐵㡢搹㙡摡㤸㠲㙤挹㈹ㄹ㙥晢昳慦㠴㙥愱慣愹㐶㤷昴戲ㅡ㠸㈱戸扦㐵攳㍥㥣㠱搰㕦㙢搹㔶㤸搳扡㌵㘷㔸挲㙡挶攳搱扥㐷〳㤷㐷㌱攱㙡㝡㠱戶㜸㍣㕣㕢㘸晦㠶㔴晢〱㐴敤戶〰挰〲㈰㍦昰㍦ㄲ昰ㄳ〱晦㜰〶晣㑣〰愳愵摥㜴〶戸㄰㔸㑤㠱愸户㥣〱㈹〴愴ㄲ戰〷〰晥挸㕢㝥㤲搴㍢㈸昲㘷挹攵㑥〳愴㤷戱㕤㙡扦搷㐱昵㑦㌴攱戵㔰攳挴㔲敦㠲攳㈵㘶摦㤴敢㠲摡晤㑦戹扤㙣㠱㡦㤶㐱㈵㐶㐱㌱㌵摡㡡㡦㙤愹挳㜷〶㌴て㠱ㅦ㌸〳㌲〹挸㈲攰㐳〰㌸敤摣㕤㔱捡㌳挳戹摦㍤㠹㠸㜱㐱扥㔳㤰戳愱〶㐱㘶挲戵ㄵㅦづ捣ㄲ㘴扥扦愰㜵〷㔱㑣㡥摡ㅤ捣㡣㘸摣挱㍤〰改扣㠳㤹㐴ㄵ〷昷愴㘶㘶㔳摢㌹戸㌷㙡昷敦攰㥦搰㑣ㅣ㝣㄰㤵ㄸ〵昵㌳㤸㔶㝣㙣づ㍥ㄸㄸ慤て㠱扦㌸〳づ㈱攰㔰〲愸㑢ㅣ㝣ㄸ㑡㐳づ挴挱挳㥤晣摢ㄷ㕡攰㕦收㜳㕢㡤㜱ㅤ捡ㅡ㑦㜷㔰敤〸㐸戵㈳㐱ㄴ㜳慦㜶晦㘶愳㉥敥摦ㅣ㐰づ㙥摢㥥戹晦㌹捣㌴慤戸㌸㤷捡扢愳搴捥挵㐷愳㜶晦㉥敥㠹㘶昸㠷㤴㈸㤵㠰㤱㑦㉦搰㔶ㄴ㙣㉥敥〷㡣㜶㉣㠱扤㥤〱晤〹㌸㡥〰收㠲挵挵〳㔰ㅡ㘰扡戸愳㍤愳扣㐶ㄵ㌸戹㜷㄰㌴挰扤捣ㄶ户ㅡ㘳戲㑣摦挱㤰㙡㐳㐰ㄴ㌳扢㈶〰㌸昳ㅡ㤵㐷挰㔰〲㤸昵㜵〰攴ㄳ㔰㐰〰ㄳ挱昶〰㌱晢ㅢて㔰㈱㈰㥤㕤㘸愹攳搰㑣㠲㌳㡣㡡㤹㌸㙥ㄷ㥣ㄱ愸摤㝦㜰㤸㘰挶㍦㤷㌶㤲㑡挰挸㠷㔹收㔶ㄴ㙣挱ㄹ〵㡣㌶㥡㐰㘶愰ㅤ〰挷ㄳ㜰〲〱㑣㑡㑢㜰㑥㐴㘹㤴ㄹ㥣愴㥢㔷ㄱㄸ散㜷㉥挸㤱㕦戳㥣㐹㜸〶ㅢ㔸ㄸ搴㥤㐲㌵〶晡㄰慡㐲换〰㌲㔹ㄳ晦㌹昹つ〷㔰挴〱㌰攱㙣㜷㌴戳捣㜱㐷㡦〵愴㉦㤶戲昵ㄱㅤ㕢㘷㍢㝤㑤㘷㠶㕡㕣㕥捣㉥㡡㔰㙡攷昲ㄲ搴敥摦攵挵㘸㠶㝦搸搷㑤㈵㘰攴挳扣㜶㉢ち㌶㤷㡦〷㐶㉢㈳㤰㌹㙦〷㐰㌹〱ㄵ〴㌰つ㉥㉥慦㐴㘹摦㑦戴㘵戳㉥愷㝦愱㤳㑦㈷愲〱㝣㕡㘱改挱㌲晤㑦㘶て㤳搸挳㔴〰散㍥慤㐱㕤摣愷㤳〱改昴攴㥤㠶㘶攲挹㉡㉡㥥㡥㔲㍢㑦㑥㐵敤晥㍤㌹ㄳ捤昰て摢挰愹挴昴攴㉣㜰慤㠹㥥慣〱㐶㥢㐶㈰㤳攷づ㠰改〴捣㈰㠰昹㜴昱攴㑣㤴晡㜵㙡昲㍡戹㜵㌶㕡挳慤捣戶户ㅡ攳戱㑣搵㔳㈰搵㑥〵㔱捣㡣㥢〰攰捣慢捡ㅣ〲收ㄲ搰攸っ㌸㡤㠰㕡〲㤸㐸㙦㌵扡戰㘸昸㉤〱㍥〲㤸㘴㜷〰搴ㄱ㔰㑦〰昳敥昶搰㌲搹ㅥて㙤〳㈰㥤晦㘱㘶㝥㕥㘲慢㔳㜳ㄸ愵㜶戱㥤㠷摡晤挷㜶ㄱ㥡攱ㅦㅥㄹ㔰〹ㄸ昹㐴㐰㕢ㄳつつ〰愳捤㈷㌰敡っ㔸㐰㐰㤰㠰ㄸ〰ㄲ摢㈶㤴㡡捣搸㜶㘶攵搳挹ぢ㔴ㄸ㝡ㄱ昵ㄶ换㐰㉣㈷搳㐲づ㘴ㄱ〷戲〲〰扢挷㤹摤㡦㝢㍣〲㐸攷㍤捥〷〲攲昱㈸㌵昳挹㐰㍢㡦㌷愳㜶晦ㅥ攷ㄳ〴晣㜳㘹㡢愹挴昴昸㜹攰㕡ㄳ㍤扥〴ㄸ慤㠵㐰㍥㘲㜰〰㉣㈵攰㜴〲昸搴㐱㍣㝥〶㑡〷戴ㄴㅡ敤㜴㔶㥤〹㉤昰㉦㥦㑤戴ㅡ攳戲昸昷㉣㐸戵㘵㈰敡㙡ぢ〰㌸昳慣㕡㑥挰ち〲搶㍡〳㔶ㄲ㜰㌶〱㝣散㘰㡦㄰㥦㌵挴㈳戴ち㤰㑥㕦敥昸㜴㐲〲戴㥡㡡昹㤸愲㕤㠰捥㐵敤晥〳㜴〳㥡攱ㅦㅥ敤㔰〹ㄸ昹㙣〰㙤㐵挱昶挳㜱㍥㌰摡〵〴摥攸っ戸㤰㠰㡢〸攰㈳㄰〹搰挵㈸敤晢攱㈸㘸摢㈹㥥昴摥敥ㄲ㌴㐰㉣昸㑣愴搵ㄸ㠲㈵ㄶ㤷㐲慡㕤〶愲敥戶〰㠰㌳㘳戱㠶㠰换〹攰戳㡤㔶㐳㠳〵㜰〵〱㔷ㄲ㜰㡦㌳攰㉡〲慥㈶攰㕥㘷挰㕡〲慥㈱攰㍥㘷挰戵〴慣㈳㘰㡢㌳攰㍡〲搶ㄳ㜰扦㌳攰㝡〲㙥㈰㠰て㕡㕡ㄳ慤搸㐰挰㡤〴㙣㜵〶㙣㈴攰㈶〲ㅥ㜴〶摣㑣挰㉤〴昰㔱㡤㝤㑥昲昹㑣㝣㑥摥ち挸慦㔸搶昰搹㡥捣捥摢搸〵ㅦ昲戴㥢㥤户愳㜶晦戳昳㌱㌴挳㍦㤷戶㠹㑡挰挸攷㜱搰搶㐴㤷摣〱㡣戶㤹挰㈷㥣〱㜷ㄲ㜰ㄷ〱㝣㠰㈴戳昳㙥㤴摡㘶㘷摢㙥敢愴换㥡㝢搰〰戳㤳㑦㤴㕡㡤㈱㔸㘶攷扤㤰㙡昷㠱愸ㄷ〱戰晢昴㈵搴挵㝤扡〵㤰捥㕦㠹㕦㐶㍢㜱攵晤搴晣㍦㈸戵㜳攵㔶搴敥摦㤵慦愰ㄹ晥攱㌱ㅤ㤵㠰㤱て㥦㉤戵ㅡ㜶攰换㍣㠹ㅥ〲㐶㝢㤸挰扦㍢〳戶ㄱ昰〸〱扢〰㄰㔷㍥㡡搲〱㕤㠹㐷㌹㕤㠹ㅦ㠳ㄶ昸㤷て慣㕡㡤㜱㔹晣晢㌸愴摡ㄳ㈰㕥㍥愳攱攱攵㜳ㅡ㘱昸㔰㐶㤸昷㑤㠶㑦㘱愴㠶㑦㘲㠴攱㘳ㄷ㘱昸攸㠵㠷㘲摥㤷扣搶ち慤㘴㤸㈰㑡晦〲㥣㍤㝢㤶㤰㉥㘴㡥搱攳㘷攲戰㈶戶ㄴ㌷ㄶ挲㌲㥢ㄶ攷昸挰㉡㉥㐶㉡㍦ㅣ挱㙤㜶㥡㝤敦敡扥戶㑦㐱㔵㘶㉦摢扥㘰㘹㐶挹㘷ㄸ㑤晡㤸㥦ㄲ昷扥敥㙢捦㠱户㙤㔳㘴ㅢㅥ敥敤戰愹搷愴㐰㝤㈴ㅣつ晢㘳㜸搳㉥ㄴ捤攱㍥㙢㍦ㅥ㈳ㄶ愷㥦〸㡤㡥㝤搲戰戴㄰晦攲挰㘲敥㝣昴㉣〸㠵㤷㠴㘴㌴改㔱㙥㌷㘷㙦㕡㤷㉥散挶㠳㡦ㅣ㐷挳㜹摥㉦㈱㘱㘳敤㈹㜴摣㌵搵晢㉦㈲㜱㜸扦㌲㤹慦㑤㠶㐹㑡ㅥ改㑣攵㜵㌶㘳㐸摤慡㑥搵慢〶愵愷㜵改愲晡搹㌶㌵㈷㘴ㅡ昷敤㑢㜵扢〷戲戳攳㘱㜲攷ㅡ㜱㜸㙤ㅥ㘵㘳挹ㅣ㍥つ挳戴㘷㐰㍣㕥㘶ㄹ㌹㈰昷戳㈸昶㈸ㄹ㔷㡢晤㤲收づ㑡捥〲昷㜳愸捦㐲扤摣㝦㔶㘳㌷戸晢㜹搴㜴㐳㡤攵㜹㠵㝢㈷敡扡愳慥晤ぢ攸㕥愶㉦挵㤵慦愱ぢ㜹〷㍢晥㌶昶㑢㠰㝢㤹扦攴攱㘵づ㔳ㄸ㈶㉣㠵㘱搲㔲ㄸㄷ㠰挲㈸㤳㐹㌱㤹㔴㠳㔱扣㙡㄰慦扤㙣㌰㉣愸㉥㈸昰〴㔰㐳攰㉤㑥㍢慡搱㌸㤷㌸㙤搴㈰搴㜰敡戴て㝤〶挴㌲摥扦㠱㐱攸㌵㠱㘳㠸ㅥ㤳挹㌴㤹㉣㠳㔱搹㘰ㄸ㝥㌵〰敡ㄸㅡㄹ换㉥搴㙡慦㠲㜸扣捣昱㠹㔲扡㔸愳㍦㌵扡㔰愳捦扣摤㐱摡㍣㔴捣㌱㡥㈵搹㠳㝡搵㤳㠴愵户つ㠶〵搵ㅢ〵戱慣㉦㍡㑢戴散㌰搴㈶㕡㜶㄰ㅡ㐹㍦敦㠱㠱㘵〷攳㡢㠷户㡦挹ㅣ㘲㌲㠷ㅡ㡣敡ぢ㐶㉣㍢挴㙡搹晢愸搵㍥〰昱㜸㡦〰㙤戳㡣昶戴㤹攷㍤搲ㄴ㑡散㍦愳㤰ㅢ㌸戵㜲㄰㤵㡢愲㔸昶愵挱㜰㕥慡愳㔱㄰换扡㍡㕡㤶改㘸搹㌱㘸㈴㠳昸〶っ㉣敢㠷㉦ㅥ摥㘳㑤愶扦挹ㅣ㘷㌰㙡㄰ㄸ戱㑣㌳㉣愳㐰晢づ㔴晢ㅥ挴攳ㅤっ摡㘶㤹㉤㘶㐳㑣愱㔸挶㑤㤹昱搷戳ㄵ㡣昰㌲攳挵挳㍢搴㘴㤸攲㤲㥡〲㠳㔱挳挰㠸昵㈹㘸㐱㐶慣ㅦ㠱㕡戱晥愷ㅦ㥤攲晡〳㙡ㄳ攳㍡ㄲ㡤㘴愰㙥攸㠰昵愳㡣㍥扣愳㑤收㜸㤳㌹挱㘰搴ㄸ㌰㘲晤昷㔰挹ㄹ换敥戵っ㔰㡤㝦㐶挷攳晤つ〰㐹慤㉦㌲㠵㘲㍤户㕦挶㕦挴敥㡥愶慡ㄸ㐲戱慣〷㑢愶㘵㈵愸ㄵ换㍥㜱戴散㈳㐷换㑡捤㝥づ㠲㉡㔸㌶ㅥ㘵ㅥ摥㌲㤳㈹㌷㤹ち㠳㔱ㄳ挱㠸㘵ㅦㄸ㤶㐹ㄲ戸てㄴ㘸㠷㠰㜸扣㈷〳㤰搴戲㐹愶㔰㉣慢㐷㕦㕡ㅤ㐹㉥㥡慡㉡〸挵戲愳㔸㐲㌵扥㤰昷㐱慤㔸戶摢搱戲搷ㅤ㉤慢㌶晢㌹ㄶ㍡㘰㔹つ捡㍣扣捣挱〸㌳摤㘴㘶ㄸ㡣㥡つ㐶㉣㝢搵戰㡣摤㙢挷㠱㙡〳㐰㍣摥㔳〰㐸㙡ㄹ㤳㈹㈲ㄴ换收戳㘹㠰愴〰㑤扤捣愶昰昰捥㌵㤹搳㑣愶搶㘴㝥㙢㌲㍥㤳愹㌳㤹㝡㠳㔱㍡ㄸ昱㔰㈱戴㤲㤱捦㍣搴㡡㠷㜶㍡㝡攸㌹㐷て㌵愲㤱㡣㜷㈴㔴挱㐳〱愳て敦㝣㤳㔹㘰㌲㐱㠳㔱㘱㌰攲愱㘷って挹㔸㐶㐳㠱㜶㍣㠸挷换〴㐳㔲て㉤㌲㠵攲㈱敥㤵搴戸昳㔲㉢愶㉤㔱〸㐵摢㌸㤶㑣换㥡㔱㉢㤶㍤敡㘸搹㌶㐷换ㄶ㥢晤㤴㐱ㄵ㉣㕢㠲㌲て㙦㡢挹㉣㌵㤹搳つ㐶㥤〹㐶㉣㝢挸㙡㔹〵ㄴ㘸㤵㈰ㅥ敦㔹〰㈴戵㙣㤹㈹ㄴ换㔶愱㉦敤㙣㤲愹㘸敡㕤㙥昴攱㕤㘱㌲㉢㑤收㙣㠳㔱慢挱㠸昵搵㘸㐱〶㕦㉥㜵㉥㙡挵晡㍢ㅤ慤扦挳搱晡昳搰㐸〶㍡〳㍡㘰晤昹㐶ㅦ摥ぢ㑣收㐲㤳戹挸㘰搴㈵㘰挴晡摢つ敢搹扤㌶ぢ㔴㥢つ攲昱昲㘶㍡愹昵㤷㤹㐲戱晥㌲㌶扤㤴挴㠷愶摥㌵㐶ㅦ摥换㑤㠶户搵㍣扣㔷㥡捣㔵㈶㜳戵挹慣㌵㤹㙢㑣收㕡㤳攱摤戲㌴攷慤戱㌰敢㑤收㝡㤳戹挱㘴㌶㤸捣㡤㈶戳搱㘴㙥㌲㤹㥢㑤收ㄶ㠳㔱户㠱㤱㘸搴挱㠲㝤搱戸ㅤ戵ㄲ㡤昵㡥搱㔸攷ㄸ㡤㑤㘸㈴㡥昳㐳ㄵ愲㜱㠷搱㠷㜷戳挹摣㘹㌲扣摦攴愱敥〱㈳搱戸挶㠸㠶㕣㘱ㅢ愱㐰ぢ㠰㜸扣昷〲㤰㌴ㅡ昷㤹㐲㠹〶㌷㐷挶㕦ㅢ㕥㐴㕢敥㠷㔰㉣㡢戰挴捥昸搹㡡㕡戱散㘲㐷换㉥㜴戴散㐱戳㥦挵㔰〵换ㅥ㐲㤹㠷昷㘱㤳攱慤㥦搴昰昶㡦㠷㝡っ㡣㔸㜶扥㘱㤹㡣愵〵ち戴愵㈰ㅥ敦攳〰㈴戵散〹㔳㈸㤶㜱搷愳挶㍤㤴摡ち㌴昵戶㥡挲㤵㌲㥣㜴摥㔸㥣㘸㕢昵㍢㙦〴ㅡ㘴㝦ぢ㜴㍣摥敡㤴㉢㐴㉡㜶ㄱ挶户㌸愴愵㥣昰敢㜴昱扥㘲〰〶挹㑦晡㤹戰晡晦愰㠷捥㙡扢搳愰挶㈳昱搱㔶挱攰散愷㘱㙥㍡㑡㙥㝣㉣挷攷㐵㐶㘱㙣晣㍢挳昸昶㡥捤㝥挶㙣㌱㔷攵慥㈹㑥㝦㙢搹つ㕦㙣㍡戱摦晡扢㝦㌱扥㤷㔵㍦㜸挴敡㡦愶敥㉡㤲慦〷慦㉦㔲㉦愱㐵〱昴搸㕦㔷㙡㠱㔹㡥㙦敢㉣㌱〴昶户扡扣㉦㐳㤳㠴昹〲〹㤶晡ㅢ捡っ㤸㙡㐶ぢ㝡㐹っ扢㠸㠶敤㐲昵㠱ㄹ昶慡搹㈲㤹㘱㠶㐱㡦敤㌳㙣て㕡㌸ㄹ戶㌰㤹㘱㘱㐳㘰㝦て换晢㌶㌴㠹㘱㙢攲㠶扤㠷戲ㄸ搶㘴㌵散ちㅡ昶扥㌹捣㜸㘴㑣摡㐱挴㍥㌰㕢㜴摡戰捦搰挲挹戰挶㘴㠶捤㌳〴昶昷慢扣㕦㐲㤳ㄸ㜶㙤摣戰㙦㔰ㄶ挳㜴慢㘱搷搱戰敦㈰攲㌴散昴㔴㡣㥢摥㙢㙣昶昷㘶换㘴〶ㄲ戹敡敦户ㄵ攳㙢㜹昹㡤户换昷ぢ挳敦㉣挶㥢㡢捥㠶晥㌶㤹愱戵㠶挰晥ㅥ㤵㌷〵㥡挴搰㡤㜱㐳戹收ㄷ㐳攷㕡つ扤ㄹ戵搹㕣捤ㅦ搸搴攴搲㕦㕡㈴㌳㜰捦改扤敥㉡摦戳愹攸㤴㠶ㄳ摦慣扡昸摣㈲挵ㄵ扦㔳〴㘷㈵㌳㙣愶㈱戰扦っ攵敤〱㑤㘲搸㈶㌰㕤㔳ㄵ㤷晣㘲搸㜴慢㘱㥢㔱㥢捤挵晣㠱ㄹ挶㤵㝦㠷㠶㐹㡣㤷晢挷挶扦ㄷ㡣㔵戹㘸攱㘴搸㤴㘴㠶㔵ㄹ〲晢㑢㑥摥愳愰㐹っ扢ㄷっっ攳㡡㕦っ㥢㘴㌵㙣ぢ㙡戳戹㤶㍦㌰挳戸昰敦搰戰㐵㘳㍣㝦扦㘹攱㥤㐵搷㙤捦昹㘳愴㜱㐵㤱攲㝡摦挹戰㡡㘴㠶㤵ㅢ〲晢换㑢摥㐲㘸ㄲ挳ㅥ〶〳挳戸㔰ㄷ挳挶㕢つ㝢〴戵搹㕣㠲ㅦ㤸㘱㕣慦㜷㘸㔸挲㔵戲ㄸ㉤㥣っㅢ㥢捣戰㈲㐳㘰㝦摤挸㍢づ㥡挴戰㔶㌰㌰㡣敢㜴㌱㙣㡣搵戰敤愸捤收ち晣挰っ攳㜲晤挰っ攳㉡摤挹戰搱挹っㅢ㘵〸散慦ㄱ㜹慢愱㐹っ㝢ㄶっっ攳ㄲ㕣っㅢ㘱㌵散㜹搴㘶㜳㜱㝤㘰㠶㜱㈵摥愱㘱㍢㥦攷昱㐶摢て戶て㉤㥣っ换㑦㘶搸㔰㐳㘰㝦ㄷ挸㕢〷㑤㘲搸换㘰㘰ㄸ㔷戳㘲搸㄰慢㘱㝦㐵㙤㌶搷愹〷㘶ㄸㄷ戵ㅤㅡ㈶ㄷつ搷㘹昱㡢㠷慢㘱慣攲㕡搶挹戰攳㤲ㄹ搶摦㄰搸㕦挲昱㐶愰㐹っ㝢つっっ攳㘲㔶っ敢㘷㌵散つ搴㘶㜳㤹㝡㘰㠶㜱㑤摢愱㘱〹攷搸ち戴㜰㌲㉣㈷㤹㘱㐷ㅡ〲晢换㌵改㉢愱㘹㝦㙦㡢㔸晥挲㑢㌶㝣㥣敥㘷㌶㍡搳ㅦ慦收捡ㄵ㑦㈵〲挱愰㈴昴戳戰戹㍢㠲扦戱㜲㌲摥㘱挰昶㜰晣㤵㔱㈳て㡤㜷ㅢ戸慤搷㝣〵㐷㤳ㄲㅢ扢晤㔵ㄱ扣㤳搳挵㕦ㄹ挵扢㈷つㄹ昸㉢ㄵ㌱晣挹挰搰㝦挳捥㙦㍣㘲㐹挳㘲〳㐷㝣捦户攳搳つ㍥戶攸㘰㔳㝥㥢㍦捣㍦㥤㤲挲㍤攱扦敥㌵ㄴ昷摢㠸㤷昹㐰扦挱昲㤶㐳㥡敡㡢㄰挷㤳㤲换㕤㤲㘱挷晥㘹晣ㄵ〳攰攵㑦〶挸㉤ㅣ㠸㐷㝢㡦㔵晣㌳〴㐲㕣改扣㌱戰ㅢ挶㘷㑤㘵戴摣昶挷㑦㌲㌳㘹慤㜹㈸慥换㌹㠳摣敦㔳㠷戹㐳慤晤戸づ㜶ㅣ搷㠷㘸㘰ㅢ搷挷慣㙡ㅢ㤷攲扡㥥㘳㌳て戵〶〵改敤㔳㌰㐹㝡敢敥搸摢攷㘸㘰敢敤㑢㔶㔹㝡攳㘲扢㕤㙦㕣挱㑡㙦㕦㠱戱㙥㐸㙤㙦㕥愶㘳㠷摦㔰晢慢ㅣ㌹敦挶挴敤摦戱捡搲㈱ㄷ挱敤㍡摣㠸ち改昰摦㘰㥣㘳㥣敥搸搹㡦搴摣扥戳㥦㔹㘵改散㘶㤴摢㜵挶搵㥤㜴挶换㕡攲搳㜸慢㡤㈹敡㤷ㅦ㥣愶ㄶ㌶攷摢扢挵㥦㌰㙡搷㉤㤷㠹敤扡扤搷散搶つ愴戳㡤摦㍢㜶㤶㤱搸㤹挷搶ㄹ㤷㙥敤㍡攳㝡㐸㙣捣〲㌲挹㝣昹㤷㘳㙦摤ㄲ㝢昳摡㝡攳㝡慡㕤㙦慤㘶㙦㍤㤲昷昶㠹㘳㙦扤ㄲ㝢㍢挸搶摢㜶㝢㙦㕣㌹㠸㙤㝤㠰㜴㜶攴㕥挷捥づ㑤散散㜰㕢㘷㕣㜸戴㌳敤㘵戳戳㈳㠰摣摦㘴搹攳搸㙤㑥㘲户㐷搹扡攵戲愰㕤户晣慤ㄵㅢ㡦〱㌲㐹晣㕥㜷散敤搸挴摥㡥戳昵挶摦㙡㙢㙦改晦㐴㐵愷㉦攳㍣慢㝢攲〷捦昸㕦㈶昰㑤愵㐱㐱晥てㄳ㥣㕥ㅥ㙤晦㘲搸㐰っ㐴昱ㅡ㑣ㅤ摡㈰㤶攴ち㠱㙦㕥ㄴ㌹っ㙤㌰㙢㜹㍤ㄴ捣㄰㉢㠶㤷㌲挱攴戱㤶㔷㌱挱っ戵㘲㜸昵ㄱ㑣㍥㙢㜹攱ㄱ㑣㠱ㄵ挳㡢㠶㘰ち㔹换敢㠵㘰㠶㔹㌱㍣挳〵㌳㥣戵㍣戹〵㌳挲㡡攱㠹㈹㤸㤱慣攵㌹㈹㤸㔱㔶っ㑦㈷挱㡣㘶㉤捦㈴挱ㅣ㙦挵昰㈴㄰捣〹慣攵晣ㄷ捣㠹㔶っ攷慥㘰㑥㘲㉤愷慤㘰挶㔸㌱㥣㘸㠲昹つ㙢㌹挷〴㔳㘴挵㜰㝡〸㘶㉣㙢㌹㌳〴㔳㙣挵㐸㤸ㄸ愱㜱愸㌵て㉦挳挵戲㔶〲㡡㜵愰〴㡡攵㜶㈸〶㑣㔰攳攳㈸〹㔵〲㡡㈱ㄳ㔴㜹ㅣ㈵挱㑡㐰㌱㘸㠲慡㡣愳㈴㕣〹㈸㠶㑤㔰ㄳ攳㈸〹㔸〲㡡㠱ㄳ搴愴㌸㑡㐲㤶㠰㘲攸〴㔵ㄵ㐷㐹搰ㄲ㔰っ㥥愰愶挶㔱ㄲ戶〴ㄴ挳㈷愸㥡㌸㑡〲㤷㠰㘲〰〵㌵㍤㡥㤲搰㈵愰ㄸ㐲㐱捤㡣愳挶攲㑢攲搶捥昷っ愲愰㘶ぢ捡㙢ちㄵ㈳㈶㑢昶㕢㜱挹㘰昲㜰ㅣ㝡挸挰㍢㌰っ㤲〸㙥戱〹ㄸㄷㄱ摣㙣ㄳ㌰ㄴ㈲戸挹㈶愰昷㐵戰搱㈶愰挳㐵㜰愳㑤㐰ㅦ㡢㘰㠳㑤㐰户㡡攰〶㥢㠰㥥ㄴ挱昵㌶〱㥤㈷㠲昵㌶〱晤㈵㠲敢㙣〲扡㐸〴敢摡ぢ㌲晦ㄷ㘸挸㡣㌲</t>
  </si>
  <si>
    <t>㜸〱捤㝤〷㝣ㄵ㔵昶㝦㙥挸㝢攴㍥摡愰愸㠰〸㐹㈴ㄶ挰㤸〴㐲㔳〸㈱愱㜷〲㈸扡ㅡㅥ挹ぢ〴搲㐸㐲ㄳㄵ㔰搴戵攰㡡扤慣㈰戸ㄶ散慥扤戱㙢敦㝤㜷㕤㜵㔷㐱搶扡敡慡摢㕣敢晦晢㍤㌳㌷㤹㌷㈵挵摦晥㍦㥦ㅤ摥㍢摣㝢捦戹攷摣敦㜷敥㥤㌷㙦收扣㐹㡡㑡㐹㐹昹ㄱㅢ晦攷㤶挶㐲扦搲戵㡤㑤㠹㥡㥣攲扡敡敡㐴㜹㔳㔵㕤㙤㘳㑥㔱㐳㐳㝣敤昴慡挶愶㑥㌰㠸㤶㔵㐱摦ㄸ㈹㙢慣㍡㈹㤱㕥戶㉡搱搰〸愳㐸㑡㑡㝡扡㑥㠵扥㡦昳戶㑣㐵戳㤷㑥愳㠰㔵㡡㡥㔲㜴愶㐸愷搰ㄴ㌱㡡㉥ㄴ㕤㈹扡㔱㜴愷攸㐱㘱㔱昴愴搸㠷㘲㕦㡡㕥ㄴ晢㔱散㑦㜱〰㐵㙦ち挶搷㝤㈹づ㠴攸摡て㘲㕥昱昸㔹㡢㤷〱㑤㘹㔳㕤㐳㘲㐸挶〲㝢捣㘳昲昲㜲昲㜲ち㜲㐷攴攷攴づ挹㈸㕥㔹摤戴戲㈱㌱愶㌶戱戲愹㈱㕥㍤㈴㘳昶捡挵搵㔵攵搳ㄲ㙢攷搵㉤㑦搴㡥㐹㉣捥ㅤ扡㌸㍥㙣㘴摥戰㠲㠲捡㔱愳㐶㜶㍤〸㥥㘷ㄶ㡦㥦摤㤰愸㙣晣㙦昹散㑦㥦戳㡡挷攷捣㑣㌴晤户㝣づ㠰㑦戸㉣愹慢㠹㔷搵晥㤷㥣㐶戸㑦ぢ㑡ㄲ攵㔵摣昹㠹㐴㐳㔵敤㤲ㅣっ㍢㠹㘸搴㐶攴ㄴ㌵㌶慥慣愹攷㍣㉡㑥㔴㔷捦㑤㔴捡㑥慦㈹㘹㙣㥡ㅤ㙦愸㘹散㕡㐳晥ㄲつ㠹摡昲㐴㘳昷㥡〹㙢捡ㄳ搵㡥㘱㘳㝡捤㠲㜸挳捣㜸㑤㈲㡤㠵ㅥ㌵昶㍥㥣㔲㤱愸㙤慡㙡㕡摢慤㘶㝥㘳㘲㙥扣㜶㐹㠲㈶㤱㥡㐹㉢慢㉡㔴㕡ㅡ㕥㈹㥤づつㅡ㤹散㈸㡣愷愶㜸㘹扣愱㐹㙡摣㠵㜹㐱戶慥改㈲㈸㤲挶挵㈹㤵攱改挵㝤㔶㕡㔵㌳㉤搱㔰㥢愸㘶㄰敥挹挱ㅥ㈳㈱挸摥て捤㑣ㄹ㌸摣㑢慡㡢戳昸㠸㠵㔱愲ㄹ㄰ㄹ㌳敢ㅡ㙡㌰㈱㘷㈴攲戵㘳㜲㜳昲昲㐶ㄶっ㈹㙤慡㈸㐹慣㐲㉤㌷㙦㐴㠱捥㠴㤵捥愲晤挱㄰㔹㌳ㄲ㙢慡捡攳戵攸㔷㔳㔵ㅢ慦捥㤸㔲摢〴㠲ㅢ㥢㌲收挶㥢ㄲㄹ昹戹㐳㠷改㠱散㤱つ愱搲摥挲ㄱ挰ㅤ㤷慢㌰戵㉣㥥㕡戶㌸戵慣㍣戵慣㈲戵㉣㤱㕡㔶㤹㕡戶㈴戵㙣㘹㙡㔹㔵㙡搹戲搴戲攵戰㌱㕢㝡攷捥愹捥戶㘳晥扦㕦㍥攴戴㠶㤲昳㙥㥥昵晣㡦扦㍥昰㘵挵㐵㉦挷㡣㐳㔱挸㥣㕦㕢㔵〹㈸㐳㘶㔴搵㡥挹ㅢ㤹㉢摢㤰ㄹ昱㌵㘳昲ぢ散㡡㍥っ㘶晡㜰㠸攸㈰㠸ㅥ攳敢攲㑤ㄹ㌳敡慡㉢㌲㘶㌷㔴㤵㈷昴㘰慡㠷㐰㈸昵㍡㐶捤㤱㕦㝡昵㑢㔹摦扣搶㜵摣慦㝦㕣㜹㙤扣㉥㙢戹攲㈱㐶㐲收愰攰愱㉥㌷扦㈰㠹扡摣〲㝤㈴㕤收㐲㐴昳㈰㝡捥㉦〵㕢㤵搵㜱捥㔷㌰㤵㍦㔲攷搳㘰㈸㠴㔲㉦㌸㌱㔳㡦㍡散敤昷㈶㉥㥢扡㜱昹㔷ㅢ㘷摤㤲㤵愵㜸㐴㤳㤸〵㈸攴㈴敦慥摣㘱挹扢㙢㔸摥愸愴㑤て㘷㠰ㄱ㄰搱㤱㄰〷㘱〴㘱晢㉤㝦㤴ㅥ㐵攳搱㄰㑡㍤改㡣㘶昳㍥㤷㝥扤攰㤸敤搳慦ㅤ戱㘳摡㠵敢㍡㑤㔵㍣戴捡㘸㡥㐶愱㕦昲㘸㠶攵扢愶㑥㠱ㅥ㐳㜷㘳㈱愲㠵㄰㝤戱捡慡攲㡢慢ㄳㄹ挵㜵㡤㑤㡤ㄹ㜹㈳づ捤㈸慥㡥㌷㌶㔶㤵敢㜱戴㉣㠲㔰㙡㤷ㄳ㌸戲㘵捡攷㕦敥搹㙦搶改㠳㥥㌸改㑦〷昴散慦戸戲㈵㜰㌱ちㅤ愵愱㠴〱㈶㐰㐴㈷㐲戴㐶〳愶敦㈴ㅡ㑦㠶㔰敡㍥㘷㌴〳㉦摤㔶昹昴㝥ㄷ捦㍡攳愵㑦㍦㥥戵晥愵㈵㡡㥦㉢㌲㥡愹㈸㜸㈶㐲挰ㅡ㥡㐶㤷搳㈱愲㌳㈰摡㕥㐳㜹㝡㈶㝢捣㠲㔰敡づ㘷㄰㌳敦㕥戶㍣晥攱㡥㤹㘷㔴㕣昵㘲搱戲㘱㥦㉡㝥慥挹㈰收愰㄰㉤㕥搹搸㔴㔷愳攷戲㘳㈹ㅢ收㐱昴㤸戰㘲㘵㔵㝤つづ㙡捥㉣㥦㑦昵〲〸愵㜶㍡㝥搷つ㙤㍡昱攸㙢㔷㑥摣㝥敡戱㌷㐶ㄶ昶晢㡦敡〲戵昸㍤ㄶ㠵扥敥㠵㜵〴㡥〹㐳㘵㔵戱愰ㄷ搲搹㜱㄰搱攳㈱戲㜱扣慣愸慢挹㈸慡慦㙦挰戱㕢愶昹㤱㈵㠹㤶ち攷晣㈸晤㌳㜶㍡〱㐲愹ㅤ捥〸㤶敦㍡攷㥥㍤户ㅣ㍢晥㤲㐵㤳摦㠹扥㝦挳㌹㡡㥦搳㌲㠲㌲ㄴ㝡㤷戸㠷㤰㤷㥢㉢〳挸ㅢ㤶慢ㄷ㐱慢攳㄰搱挵㄰晢挳㝤㐱㐶㘹扣㍡㠱搹㌵慣㘵㜶㤵搳慡〲㐲愹慢㥣㠰㐷っ㥤㔰晥敥搱攷㡦㍢攷㠳〷摥扢㍦㝤攷㍤㡡攷〴ㄲ戰ㄲ〵㑦挰愱㑥挰ㄱ戹㝡〹㕤㉤㠵㠸㔶㐱㈴〵ㅣ搵ㄲ㜰ㄹ慤㤶㐳㈸㜵戱ㄳ昰㠱㈵挷ㅦ㌵㝣敡愰愲㑤昱㠲攲㉥愳捦㍤㔹昱晣㐳〲搶愰搰搱改㕣换〰㜵㄰搱㝡㠸㔶愷㜳㥥㕥㐱攳〶〸愵㌶㍢愳㤹晣㘲愷㙦〷㝦扡戱昸敥㙢㡢扦扤㜹㐰昹っ挵ㄳ㈱ㄹ㑤ㄳちㅤㅤ捤㑡〶㔸〵ㄱ㕤つ搱摡㘸昲㐷攸㌵㌴㕥ぢ愱搴㤹捥㘸づ摥搵㜴昴挷ㅦㄷㄷ㙤摤㝡昱㠷ㅢ㉦㝣昹㥦㡡㘷㘴㌲㥡㜵㈸戴㌶晦㑥愶戳㔳㈰愲愷㐲戴㘷晥㘱㜹慦㘷愷つ㄰㑡慤㜷㐶㌰攰愵换㜲㉥㝣晡搵㈹扦扣敢搳㕤㥦㡤㥦戶㔰昱㜴㔰㐶㜰ㅡち〷㈶ㅦ攵摣〷昹㝣㝤㍡っ昴㈶㠸攸ㄹ㄰㉤〷戹㜲晢㈰㤷摢㌲㉢捥愴攵㔹㄰㑡慤㜱攲㤶扤晦㘴㤷〱〳慦㥡戸㜱㜷㐹攴㥢搹晢㔷㈹㥥㠱㑡摣戳㔱㌸㌲㌹㙥敥搰㝣㜷攸摣攱捥攷㥡晤改㤶㥢㍢㕣㥦挳〸攷㐲㐴捦㠳昰㝤摣ㄴ攸捤㌴㌸ㅦ㐲愹ㄵ捥㄰㙥扢散戰昴摢摦捥㥢扣㘹昵改ㅦ㝣㜴搵㜷敢ㄴ捦㝦㘵〸ㄷ愰攰㔹〹㘶改攵攷敡㉤㜴㜵㈱㐴昴㈲㠸愴㤵攰挲㝣㌱慤㉥㠱㔰㙡㤹ㄳ㜰搰搶㝤㕦㉦慥攸㌳㘱换散扥〳㑡摦扢愸慢攲戹戶〴扣っ㠵戶て愵㤷搳攵ㄵ㄰搱㉢㈱摡㍣㤴㘲捡㕤挵ㅥ扦㠴㔰慡摣愰ㅥ昲㐸搶㡤㔳㙥㥤扡攳敤昴㥢㘷㑦ㄸ昵愲摡て㙡ㄹ挴㔶ㄴ㕡㥢㜲摢攸散ㅡ㠸攸㜶㠸昶㑣戹晣〲扤㠳㥤慥㠵㔰敡㘷捥〸ㅥ晦㜰晤㐰敢愱捣㜱㔷㉦㥥ㄸ摦晡昲㉦晢㈸㝥搱㤰ㄱ㕣㠷㠲㠷〶ㅣ㌶㤳㜶晤愸〲㝤㍤㕤摥〰ㄱ扤ㄱ挲户慦㠷敢㥤㌴戸〹㐲愹昹㑥捣㉦ㅥ愹㉣㙣㍡攳㤴㔹㤷㝥戵㝦挴慡摥㜹㤶攲昷ㅡ㠹㜹ぢち㥥て昳愱㐳㕤ㅦ收挳昴慤㜴㜷ㅢ㐴昴㜶㠸㤶㜹㙥㝦㤸攷攷户捣昳㍢㘸㜹㈷㠴㔲㌳㥤挰㉦慤ㄹ㔰㍢昴敡㍥㔳慥ㅦ㥤晥捡改捦昶慥㔱扤愱㤶挰㜷搱㤹晢昰敥昹㠴戹㥢捥敥㠱㠸摥ぢ搱ㅥ扡㠷收敢晢搸改㝥〸愵㈶㌹㈳㜸昶㉦愷摤㜲昸㍢敦㑣戸晦换〱戳㠷敥㜳捤ㅥ搵〷㙡ㄹ挱㠳㈸戴㌶㠲㠷攸散㘱㠸攸㈳㄰敤ㄹ〱捥敢㜶戱搳㙦㈰㤴ㅡ攷㡣攰慤㝢攷扥㍡昶搱戲愹摢て㉤㝢晢晢搲㑤ㅢ㔴㕦愸㘵〴㡦愲攰搹攱〱愷㄰㡦搱攵攳㄰搱㈷㈰摡㥥昷愳昴㤳散昱ㄴ㠴㔲愳㥣㐱摣㌳㙦昳㑤慢摦ㅤ㍢昳散〵ㄵ㐳㌷㍣㍣㝦戲㍡㄰㙡ㄹ挴㌳㈸㜸〶ㄱ㜰㐲晢㉣㕤㍥〷ㄱ㝤ㅥ挲㍢敢㠶收改ㄷ㘸昰㈲㠴㔲昹㑥捣㤹〷敦晢攱戱㔳捦㥤㜶昵㜵㥤㑦㝢㌷晢挲ㄳ扢扥っ昵ㅣ攷扢㐸㐹㐳㝣㌵扥摤戵㝣㜱挴户㘵晥㙢晢ㅢ㌳扥㌰㔷ㄶ㔴㡥愸捣换慢㈸挸㡤て㡤㐷㌲攱戶扤㕦捤昸〹搳戵昲㤸㉡㥣慦慣㤶敦㙡晤挶挷ㅢㄳ㉤㕦摤〶㍢扡昱㜵㉢㙢㉢ㅡてっ㔶㤶㌶攱ㅢ㑦㕦慦慥挵㠹慦㕢㈹扥挹㈶ㅡ㈵㕥㝦㙦户〵昱敡㤵㠹愲㌵㔵戶晡㈰㡦ㅡ摦㘳敢ㄶ㠷㙢㈷㌶㈴㔶㌴㙢㝤㈳㉡挲㠵㤶㔵攲摢㠷搲㔶搹攳捡㈸㕥㕡搷㤸愸㤵攱つ慥㤹㕤㔵扥㍣搱㔰㥡攰㘵㥡㐴㠵㐰摤㡦㉡攷换昴攰㔹戵〰㡡慦挷ㄵ㔹敥搶捡〹㙢㥡ㄲ戵ㄵ㠹ち㡣户㍥搱搰戴㜶ㅥ捦昸昷㑦㌲戱㘳㐲搱㈷愹㜹㘲㕤昹捡挶攲扡摡愶㠶扡敡㘴㑤㔱挵慡㌸扥挰㔷捣愸慢㐸攰晢㜷ㅡ户ㄴ㤵搲愹㤳㔲㈹㠳㠲扥〴搳㙦㘳㡥散〸搷㉥㍥〸晢扣㜷昲戴换㤹ぢ㜴㐰㔱㥤攰㥣㑣ㅤ搸㠶㌳昱㑢㌷㠷㠷ㅢ扡㌰昱㥡ㄶ慤てぢ户㤶㌱㌶敦戹晦扦挶愹愹晢㍡攸㈷慣挲昷㠱挹㌸㔹慦㑥㌴戴㝡㐵㑥㜱㐴晡ㄵ㠸挸㤱㔸捤愱散愵挱㐲慤㔱㙢㈳慢慢㉡㥡㤶㐶㤷㈶慡㤶㉣攵㤹㈴慥摡愵愷㤳㕡摦愶㕦㐳㤳㝥㥤攲㜷㄰戱㔸㑡昴昷㌴㡡挶昴ㅦ散㝡㈴ぢ晦㜷晣昲㐹㉡㝡㘹戹㕣㠳㙢㙢㡤㤱㥡㠹㜵つ㡤㥤㍡〵愱㥣ㅣ㙦㕣摡挴改搹扡㤲晥摥愰昸㈳㐴㘴㈰㐴㥢㔷㘷㝡挰㈸㡤ㄷ愱扡搵㤴㈴㉡攳戸昴㈷慢㕢挵㈳㌵昶搵愴㤲㐴㘳戹收㘵愷㈹㔸㉢㙢愲㈸㘱昱㜷慤攱散㑦慣㘹㉡㠹㌷挵㍢搷攰〲ㄶ昶㤲㠶搱㘰改㘵㤷搸戳㥢戴㤹摥㌱愷〶て㤶ㄴ㕤㕥扡㐸㠳敤〹ぢ〷敢㈵愵㤳㈳㕢〷㠱戱昷〷㠸愸㜷愲㈷㕦㠸攲昷扤㐹㠹摡㜹㙢敢ㄳ㡤㌴㑦㡦戶㑡愵㜷㜹搱搹慣昲挵昳㥢慡慡ㅢ㜳㌰搲㐹つ㜵㉢敢晦㥢㝥攸㑢扦〹㘱戶挸㈱㤸挵敤挷〴扡㔲㍡慦攲扥㈹㉢㑢㐹愷㌷戶攸㠳㈹㌸㕢攱散㐷晣㈷㥢晥㌳晥㡢戵愶㡢㘴挳愲㈳ㄷ敤㈲戰敦㕡〳㠶收㌵㈴攴㌲㘴扡㔴挰㜶户㥡㘳敡ㅡ㤶㉦慥慢㕢捥昹搴㕤㙡㡤㑢ㄳ㠹㈶㕥摡敢攲㕣捡㤴㑢㤶㑡㜵敡㤴㜴晤捤㜵つ㜰〰晣㐷昷㐰㜴㉢慡慥捥㌰ㅥㅢ愳敦愱愹ㄳ㉥㌲㐶昷愲㌰㘰ㅥ㍥㥦㜱㑤㍢㤱㔱ㄹ㠷ㄵ扥㘲て换㈸㕤㡡㡢慤㐷攴攵慣愹㙥㕣愳晡㠱〴㕥㉢晢搳㡢㝢㙥㕣㍥攱戴㘹㤷收㝤戰㘹㙦捥㝤扦㔷〷㍡ち摦㜵扢挳攰㌶ㄳ㙦晤〱㠴敡〳㌳ㅥ㕣㔰㑥摥昴㐷愸敢㡦㈹㍥㠱挰㈱㐲㐸挷ㄱ攲㔳扢慡づ挷晦㍣㑡攸捦㈸㍥㠷㔰㠳㈱戸㐶昵摦㈰捣愶㉣昸攷慥㤷摤㌷〸捤晥摤昷㜷戴挶㜴㉢㍡㌵〴ㄶ摣㠵㥡㤴㘹㤲愴㐹㤰㡡挲㜱㈰〱ㄱ㐷攱扢㡡㜸㈴扡〹〱摦戱㝦㈷㤸〵ㄳ昰〳㘳㤰ㄸ捤㠹攷㈲㈰搵慥慡㕣攸㠴㠰㑥㘸搰扣挳愲昲搱㈴〴㐴㔰㌳㥢晡收〷ㄷ〱㜹㘸昶ㄳ愰改㔳户愲㔳㐳搱㉦㠸㠰㉦攰㍣㤰㠰扦㌹ち摦㈵捤攱昰㤴挹㔱散挳㈱㝦〶戳㘰〲㝡㐱慤昷愳搸ㅦ挲㐵㐰㙦扢慡㐶挰㠹㄰搰㠷㐶㝤㈱搴㈸㌴〹〱〷愲㘶㌶昵ㄷ㌷〱㈳搱散㈷㘰〰㝤敡㔶㜴㙡㌴晡〵ㄱ昰㔶ㄸ〱㙦㍡ち摦㔵搴㌱昰㤴挹㔱ㅣ挶㈱扦ㄱ㑡挰㈰愸昵㘰㡡㈱㄰㉥〲㜲散慡ㅡぢ㈷㐲挰㤱㌴捡㠵㔰攳搰㈴〴攴愱㘶㌶昵㤲㥢㠰㐲㌴晢〹㈸愰㑦摤㡡㑥ㄵ愱㕦㄰〱㑦㠴ㄱ昰戸愳昰㕤捤㉤㠱愷㑣㡥㘲㉣㠲慡㐷㐳〹ㄸ〷戵㉥愲ㄸて攱㈲愰挴慥慡〹㜰㈲〴㑣愰搱㐴〸挵敢户㐲挰㈴搴捣愶敥㜷ㄳ㌰ㄱ捤㝥〲愶搱愷㙥㐵愷㈶愳㕦㄰〱户㠵ㄱ㜰慢愳昰㕤㐰㥥〶㑦㤹ㅣ挵㍣づ昹收㔰〲ㄶ㐰慤㡦愱㌸ㄶ挲㐵挰㜱㜶㔵㑤㠷ㄳ㈱攰㜸ㅡ晤っ㐲捤㐴㤳㄰㜰〲㙡㘶㔳㍢摣〴捣㐰戳㥦㠰㌸㝤敡㔶㜴㙡ㄶ晡〵ㄱ㜰㜹ㄸ〱㤷㌹ち摦挵敢戹昰㤴挹㔱㉣攳㤰㉦〹㈵愰ㅡ㙡㕤㐳㔱ぢ攱㈲愰摥慥慡㔲㌸ㄱ〲㔶搰愸〱㐲捤㐷㤳㄰搰㠸㥡搹搴㜹㙥〲收愱搹㑦挰㙡晡搴慤攸搴〲昴ぢ㈲攰戴㌰〲㌶㍡ち摦㔵昶㠵昰㤴挹㔱㙣攰㤰搷㠷ㄲ㜰ㅡ搴晡㜴㡡㑤㄰㉥〲捥戴慢敡㌸㌸ㄱ〲捥愲搱捦㈱搴捦搰㈴〴㥣㡤㥡搹搴㉡㌷〱挷愳搹㑦挰㘶晡搴慤攸搴〹攸ㄷ㐴㐰㜵ㄸ〱换ㅤ㠵敦㈲晦㈲㜸捡攴㈸㉥攵㤰慢㐲〹戸ㅣ㙡㝤〵挵㤵㄰㉥〲㝥㘹㔷㔵ㅣ㑥㠴㠰慢㘹戴ㄵ㐲㤵愳㐹〸搸㠶㥡搹搴㈲㌷〱㡢搱散㈷攰㕡搸挷㜴㉢㍡㔵㠱㝥㐱〴㉣〸㈳㘰扥愳昰摤㜴攰摤㠴㑣㡥攲ㄶづ戹㌴㤴㠰摢愰搶户㔳摣〱攱㈲攰搷㜶㔵㉤㠵ㄳ㈱攰㉥ㅡ摤つ愱㤶愱㐹〸戸〷㌵戳愹愹㙥〲慡搰散㈷攰〱晡搴慤攸搴㜲昴ぢ㈲㘰㕣ㄸ〱㠵㡥挲㜷ㄳ愴ㄶ㥥㌲㌹㡡挷㌸攴㌱愱〴㍣〱戵㝥㤲攲㈹〸ㄷ〱捦搸㔵㔵〷㈷㐲挰戳㌴㝡づ㐲慤㐰㤳㄰昰㍣㙡㘶㔳挳摣〴搴愳搹㑦挰换昴愹㕢搱愹〶昴ぢ㈲㘰㔰ㄸ〱㠷㍢ち摦㝤㤷㤵昰㤴挹㔱晣㤱㐳㍥㌴㤴㠰户愰搶㙦㔳晣〹挲㐵挰㍢㜶㔵慤㠲ㄳ㈱攰㕤ㅡ敤㠶㔰㙢搰㈴〴散㐱捤㙣慡扦㥢㠰搵㘸昶ㄳ昰㍥㝤敡㔶㜴㙡㉤晡〵ㄱ搰㉢㡣㠰㝤ㅤ㠵敦㔶捦挹昰㤴挹㔱㝣捥㈱昷っ㈵攰ぢ愸昵㤷ㄴ㕦㐱戸〸昸㠷㕤㔵愷挰㠹㄰昰㑦ㅡ晤ぢ㐲慤㐷㤳㄰昰㙦搴捣愶搲摤〴㥣㡡㘶㍦〱摦搲愷㙥㐵愷㌶愰㕦㄰〱㍦㝣ㅦ㜲㉡晣扤愳昰摤㘹㍡ㅤ㥥㌲㌹㡡戴㔴っ昹㕢㤸〵㥦ち㐷愱搶㥤㈹搲㈱㕣〴挴散慡摡〴㈷㔹㜴搴㠵㐶㕤㈱搴㤹愸ち〱摤㔰㌳㥢晡ち㌱㥡扦っ㥤㠱㘶㍦〱㍤㘱ㅦ搳慤攸ㄴ敦㘳〵ㄱ昰㔱ㄸ〱ㅦ㍡ち摦㉤慦㜳攰㐹〸攸换㈱扦ㅦ㑡㐰㍦愸昵㐱ㄴ晤㌹扡㤶㙦㠳ㄹ㜶㔵㥤ぢ㐷㔹㠴㤳㐹愳㉣〸戵ㄹ㔵㈱攰㘰搴捣愶晥攴㈶攰㍣㌴晢〹㌸ㄴ昶㌱摤㡡㑥㥤㡦㝥㐱〴扣ㄶ㐶挰慢㡥挲㜷挳㙤ぢ㍣〹〱戹ㅣ昲换愱〴攴㐳慤㠷㔲っ攳攸㕡〸ㄸ㙥㔷搵㠵㜰㤴㐵㌸㈳㘸㌴ㄲ㐲㕤㡣慡㄰㌰ち㌵戳愹愷摣〴㕣㠴㘶㍦〱㘳㘰ㅦ搳慤攸搴㈵攸ㄷ㐴挰挳㘱〴㍣攴㈸㝣㌷〰㉦㠷㈷㈱㘰㈲㠷晣㐰㈸〱㤳愱搶㔳㈸愶㜲㜴㉤〴㑣户慢敡ち㌸捡㈲㥣ㄹ㌴㥡〹愱慥㐲㔵〸㤸㠵㥡搹搴ㅤ㙥〲慥㐴戳㥦㠰㔲搸挷㜴㉢㍡昵㑢昴ぢ㈲攰晡㌰〲慥㜳ㄴ户㜹㙦㍥㙥㠳㈷㈱攰㘷ㅣ昲戵愱〴㥣〸戵㉥愳㔸挴搱戵㄰戰搸慥慡㙢攰㈸ぢ㙦㕤㑥愳ち〸戵〳㔵㈱㈰㠱㥡搹搴㤵㙥〲戶愳搹㑦㐰ㄵ散㘳扡ㄵ㥤扡ㄶ晤㠲〸戸㈰㡣㠰㕦㌸ち摦扤捦敢攱㐹〸㘸攰㤰㌷㠷ㄲ搰〴戵㕥㐹戱㡡愳㙢㈱㘰㡤㕤㔵扣㈱㥡㐵㌸㙢㘹㜴ㄲ㠴摡㠹慡㄰戰づ㌵戳愹㑤㙥〲㙥㐴戳㥦㠰昵戰㡦改㔶㜴敡㈶昴ぢ㈲攰愴㌰〲搶㍡ち摦㡤搸㕢攱㐹〸昸㌹㠷扣㍡㤴㠰㜳愰搶攷㔲㥣挷搱戵㄰㜰扥㕤㔵户挱㔱ㄶ攱晣㠲㐶ㄷ㐰愸㍢㔰ㄵ〲戶愰㘶㌶㔵敢㈶攰㜶㌴晢〹戸〴昶㌱摤㡡㑥摤㠹㝥㐱〴㔴㠴ㄱ㔰敥㈸㝣㌷㠴敦㠶㈷㈱㘰㉢㠷ㅣて㈵攰ㅡ愸昵㜶㡡ㅤㅣ㕤ぢ〱扦戲慢敡ㅥ㌸捡㈲㥣敢㘸㜴㍤㠴扡て㔵㈱攰〶搴捣愶㡥㜵ㄳ㜰㉦㥡晤〴摣っ晢㤸㙥㐵愷敥㐷扦㈰〲㘶㠶ㄱ㌰挳㔱昸敥㐷㍦〴㑦㐲挰摤ㅣ昲戴㔰〲敥㠵㕡摦㐷㜱㍦㐷搷㐲挰㠳㜶㔵㍤っ㐷㔹㠴昳㄰㡤ㅥ㠶㔰扢㔰ㄵ〲ㅥ㐱捤㙣㙡扣㥢㠰㐷搰散㈷攰㔱搸挷㜴㉢㍡昵ㅢ昴ぢ㈲㘰㘴ㄸ〱㈳ㅣ㠵敦㜶昸㘳昰㈴〴㍣挷㈱ㄷ㠴ㄲ昰〲搴晡㐵㡡㤷㈰㕣〴扣㘲㔷搵攳㜰㤴㐵㌸慦搲攸㌵〸昵㈴慡㐲挰敢愸㤹㑤つ㜱ㄳ昰〴㥡晤〴扣〱晢㤸㙥㐵愷㥥㐲扦㈰〲戲挲〸挸㜴ㄴ扥㕢昱捦挲㤳㄰戰㥢㐳ㅥ㄰㑡挰㝢㔰敢扤ㄴ㝦攱攸㕡㘶挰〷㜶㔵㍤〷㐷㔹㠴昳㈱㡤㍥㠲㔰㉦愰㉡〴㝣㡣㥡搹搴晥㙥〲㥥㐷戳㥦㠰捦㘰ㅦ搳慤攸搴㡢攸ㄷ㐴㐰搷㌰〲扡㌸ち㙦㕥㐰攴ㄵ㜸敡挰晤摣㉥ㅣ㜰攵㠲慡挴㙡摥㠰敡㕥㠹㠴㙤㍢〵㤲昷㐴扡㔵㤶搴捤慣㙢㉡愹㙡慣慦㡥慦摤户搲㈹ㅣ戳㌴㔱㡢㝢搹つ戸愵敤㘹慢慢慦㑦㔴攸捡搲扡㤵つ攵㠹㈹㈵晦ぢ昷扡㠱て扢㑥㙥㜳愷㉡㙣㍦敤昶㙤ち㝡㘲㤶㘰㑢㠹扣〶㠷摥扢㜰㤲㌶敥扡㘳㉥㐵ぢ㠶㍤㕡ㄸ㥤㔷搵㔴㥤攸㔲㈹㜷慢愵㥣㕥〹ㄶ㤱㈰㔰搱戹㜲摥㔲摣㥤㉡改㔶㌹愹愱慡愲扡慡㌶挱㥤搱换㌶㥤㥥㔸㠲㘴㠰搹㜵㡤㔵捣㜸敥㔶㌹慦㈱㕥摢㔸捦晢㥡攵㙢昷㐹慡挹つ搰㐸攵昸慡摡㐶㠴㤱㐴㔶㤶㝢㔴㤶㉥慤㕢㡤ㅦ㡢慣慣愹㥤ㄴ慦㙦晣㥦搸㉢㡡扢㐵㌶搹㌵㉡㔵愵愶慡昴搴昴㥦扡㝦愲晦挲ㅡ摢搷捥昵换挰㍣㙤㙡愸㕡扣㤲㠴㐹㡣㝣挸㌴ち搹㠷㈹㤱搷㔱昲摥挱㜴敤㐲㑦晡〱挷㥡昴㈳㠸挰㍢攱捤扦挰㌹〸收晡摦ㄸ㑥搷慦㈱愶㑥㥡㍦愵㈵㌱攷晦昴㜳㤶挸敦攰戹摤㜹㄰晢挱戸扢㍤㠵㤸ㅢ挱ㄹ㠵㤵㠹㤹挰㥡㜷㕡挶㉡挵㠶㌳戴㝢㑢㜱㈲㙥愵㜷慤㥣ㅥ㕦㥣愸㐶〶㐰㑤扣愹扢㕤㘱㉡〶㝥敥搰攸攸㡡敢㙡㙡攲㥣㜲晣搱㐶㘹㌹㔲㠷搳㉢㡢㔶㌶搵攱㐷〴扡ㄲ㐲收愵搳ㄴ㕦㠳愶昸ㅡ晢㕥㝤攵㕣㘶〶㐹㤹扥敡㤶㈰戹扤㘹㘹㑤㔵㜹㍡㉢捣摥昹㥦㤸慢㌸㝥愴㠱㑣戳㤹㘳㠹昷收扦㝤ぢㅥ扢㍢〷昹㌲愴㡥扢ㅦ㌳㍡㔵㐵昱㑦晤挴挴ㄱㅣ㜹攴〳㐵㝦〳㙦ㄱ扣攵㔰㈴㘳昹㐲㙥挵愲昸挵㝡㑣㔱㌹㌸愹㍦搰〰㙦晤㉤㑣㔹攰㍢敤つ㠸㔶戳ち㍡挳㈰㌶扤㉥㕥㌱㌱㕥㡥ㅦ㘰㜵㜶㝥㝥㤵㡥㕤换㐳㑤㠳挵㍣㡦㘲愴づ㈱㈵㘹㔵㔵㐵愲㈱㥤つ愵昸㜹㔹ㅡ㌳㐴愲昶㍥挴ㅤ敦㑥㈹㤱㐸㤷昴愰㔸㔳㡣慦㠱捥摤㜳昷捦搷愶昸晣㝦㍡㘷㈴㙦愲〱㔶㈷㐸晤ㅤ攰攸敦㠹改㡦愸ㄲ㡦挷攰〷ㅡ晣〸ㄱ㜹ㄳ㑡敦扥㐹㑥戹㐰㘲㠶㠶㔱ㅡ㍦攳搲㤸っ㤲㡥挴〹挹㈲㠹〸㤰㉥慥散㡦愸㥤昸㤱㙥㝥つㄵ㉤挵㉣㑦㔴挴散攳㉢戳㑣昰挹㤰㤲㥡㥡㠶㕤ㅤ昵㘶捥昹挲挲㔹㑤㘹㐲搲㐲㔴㝦っ㈱捡扣挱挱㕣㉣昰㕦搶晡慦㠲ㅥ扢㉦㈳㉦捦㜷㜲ㄱ㡢改㔴㌲ㄴ㔳㝦㠶㌴挴㄰㕥㉣挶扤慡戱㑢㜰㕤っ㐲㝤㠰㉡㑦て㕣ㅦ㘶敡㈳㔴昹㠱㤶ㄲ攵敦挵㝡㌹㐹愴㙤ㅥ㐱搵挷攸挲愳愸㡥搲昳㈷㈸昱攰搴㍣㔹搳搱摡昶㘴晤㤴㍤昰搶晣晤愱㤹慣敡㌳戴ㄸㅣ㈸㥡ㄹ挰㜹愰扢搰昰昳㘰㠳慥㌴攸㐶㠳扦挱㠰戳㈰摡ㅤ戵㝥㠶㕤捦㑦㤵㌲挸㘷㄰㥤ㄶ㍡㠱捥扦扢愲戸攸散挹㈸晢㌰捡㜷㌰昰搲昹〳摡㙣㍡昷㠵㐹㝢㍦㡦搴㡦攸㈶㙣昶愲㘳㔲㤱挴收晥㘸㙤㥢捤㔴㜴ㄳ㌶て㄰㈷㜶㐵㌱愹㈱㠰捤摥戰搱㝤㘸挸㠴㠷〰㠳扥㌴㌸㤰〶捣㠱㄰㌶晢愱㤶㘵搸挴㡦愰㈶慣愹㤷扣㐶搷敦戱挰㘹㐱㄰愷晤搱ㄵ㥣㌲㍤挲挴攲㤹愷㌳㐵〷㌰㔶〶㘳㌱㤵挱换㈹昳ㄷ㙣㑥㌳㘱搲㙥㑥㤹昱㈰㥣㘶搱㌱㔳ㅦ㤲㌸ㅤ㠸搶戶㌹㘵㡡〴㕥昸㈱ㅥ㥤愰㈰㙦收㐹ㄸㄸ㘸㌳㌳昴㄰搸攸㐳㘹挸ㅣ㡡〰㠳挳㘸㜰㌸つ㤸㔶㈱㥣づ㐲㙤㠴㡢搳攰ㅦ㤶㠱㔶晥㈶㌰㐳㡥㑥ㄹ㌳㤰ぢ㔷㔵㕦㥤〸㈲㝡〸晣㠱攸〱慥〱戸㠸㍥㠲〳挸攱〰㤸㌲攱㈵㥡㜹ㄲ㌶搱㐷挲愴摤㐴㌳戳㐲㠸捥愵㘳愶㔸㈴ㄱ㥤㡦搶戶㠹㘶㉡〶㕥戸㌶㑢㈷㈸挸㥢昹ㄸ〱㍣づ㠳㡤㉥愰㈱㜳㌵〲っ㠶搳㘰〴つ㤸扥㈱㐴㡦㐴慤户㈱摡昵戳㌹ㅥ〶㠶〶㌱㌹ㅡㅤ挰㈴昳㌹㑣〴搷㘱攰㈸㐶㌸㥡ㄱ㤸㝢攱㘵㜲ㅣ摡㙣㈶挷挰愴摤㑣ㄶ愱㥢㌰㌹㤶㡥挷愳㤶挴攴㌸戴戶捤㈴㜳㍡昰㐲挲〷㥤ㄸ㈶㤹搸㘱㘰愰捤㑣搹昱戰搱挵㌴㘴搲㐷㠰㐱〹つ㈶搰㠰㜹㈰挲攴㐴搴づ㌱㑣㠶晥ㄶ㤲㐷搷挰挳敢㘴㜴〷慦㑣ㄳ㌱昱㕣㌳㜴ち攳㑤㘵㍣愶㜴㜸㜹㘵ㅥ㠷捤敢㌴㤸戴㥢㔷㘶㝥〸慦搳改㤸㈹㈰㐹扣捥㐴㙢摢扣㌲㔵〴㉦晣㥥㤰㑥㔰㤰㌷昳㐵っっ戴ㄹ㕥㘷挳㐶捦愱㈱㜳㐹〲っ收搲愰㤴〶㑣㉦ㄱ㕥攷愱㌶挸昰摡收愹挰挸愰㌹扢〰㉥挰㙤摣ㄵ搳㌵㘷㡦㘱捣㘳ㄹ㤳搹㈲㉥㙥昵㐲㌴攲慢慤㘲㥡㠸捤敦㜱㘸搹搷㍥挷㘹晢㘴㠰㠹㈵挲敦昱㜴捥っ㤳㈴㝥㑦㐰㙢摢晣㌲ㄳ〵慦ㄴ㝤㈲捣㜱ㅥ㈷㙦挵㜴㤴〰晡捡㘰愳ㄷ㌱ㅡ㔳㔵〲っ攲㌴㔸っㄱ㘱昶㑡㥢愷㠳㌱挴晢㉦㥤づ㜶㥤搲㔸㥡㔸戱㤲扦㠰㡦㔷㥢㜳挳㑥㐸敢敤搰挹㘱搰ㄹ㜴昳㌷㑣晢搴戱ㅣ攸㥡㑦㙥㍣扦㔰つ㍤戹㐹愰ㄳ㉥昸㔰㉡收改ㄸ敡㕣搳㘴〹㤴㝡㈹㠴摡〰〳搷㌴攱搵て㜵ㅡ摡散㈹㔲〵㤳昶㥦㌰㌲昷㐶收挸㌲㝡㘶ㄲ㑥搲ㅣ愹㐶㙢摢㜳㠴挹㍡㜸㈱㤵㠹㑥㠸㠱㙦㘶散ㄸㅣ愸㥢㌵㔸ぢㅢ㕤㐷㐳㘶昳〴ㄸ搴搳㘰〵つ㤸攰㈳㙢戰〱戵㐲戳〶摢晣㈵㙥晢㍦㤶攵戱ㅣ㌱挵挴㈰㌳㄰ㄷ攳㉢㌹㤰㔵ㅣ〸㤳㜸扣㡣㌳㜳挷㘶㝣㌵㑣づ挲挵㡤昲㠶〴㥥ㄲ搰敥㜳㜵㘶晤〸昵㙢ㄸ㠲改㍦㐹搴㥦㠴搶戶愹㘷㥡㄰㕥㈹㝡ㅤ㥤㤰㜶扥㤹㉢㘴〰愱㙥愸㍦ㄹ㌶晡ㄴㅡ㌲㡦㈸挰攰㔴ㅡ慣愷挱㌶ㄸ〸昵ㅢ㔰㙢昹㠰㙥昹攵㌱愷㜲㝥搰挱敥㌴㜴挰挱㡥戹㐶㈶㠲㡢搳搳ㄹ㘱ㄳ㈳㌰㉦挸换㈹㤳㠱㙣㑥捦㠰挹㑦攰㤴㠹㐴挲改㤹っ挱㡣愲㈴㑥㝦㡥搶戶㌹㘵收ㄱ㕥㈹晡㙣㍡㐱㐱摥㑣㍦㌲㠰搰㘶㌸㍤〷㌶晡㕣ㅡ㌲㌵㈹挰攰㍣ㅡ㙣愶〱戳㤵㠴搳昳㔱㙢攱戴攵挷搵愱㥣㕥㠰づ攰㤴改㑢㈶㠲㡢搳㉤㡣㜰㈱㈳㌰搵挸换㈹昳㡢㙣㑥㉦㠲㐹扢㍦㥣㤹㤱㈴㑣㕥㑣挷㑣㑤㑡㘲昲㔲戴戶捤㈴㔳㤸昰㑡搱㤷搱〹ち昲㘶ㅥ㤳㠱㠱㌶挳攴攵戰搱㔷搰㤰㌹㑥〱〶㔷搲攰㉡ㅡ㌰敤㐹㤸晣㈵㙡搹收挰搰摡㐹㑦攰攷昲㔶昴〶慤㑣㡡㌲攱㕣攷㍣摢ㄸ敥ㅡ㠶㘳〲㤳㤷㔶㘶㉤搹戴㙥㠷㐹扢㘹㘵㥥㤳搰扡㠳㡥㤹昰㤴㐴敢慦搰摡㌶慤㑣㡣挲ぢ昷〱改〴〵㜹扦ぢ㘹㘰愰捤搰㝡㍤㙣昴つ㌴摣ㅤ㙣㜰㈳つ㜶搲㘰てっ㠴搶㥢㔰㙢ㄷ慤挳㠲㡥〰户愰㌷㘸㘵慡㤵ㄹ㑦㉦ㄹ㑦㑦㐸㝤㉢挳摤挶㜰㑣㡢昲搲捡㕣㈸㥢搶摢㘱搲晥捦㌱愶㑦〹慦㜷搰㌳昳愸㤲㜸晤㌵㕡摢收㤵昹㔶㜸愵攸扢攸〴〵㜹㌳改捡攰㐰㥢攱昵㙥搸攸㝢㘸挸㠴慣〰㠳㝢㘹㜰ㅦつ㤸愳㈵扣摥㡦㕡㡥㤹慥敤昹ㅣぢ㍥㔷㝦㄰㙥㐰㌰㔳戹㑣㕣搷攱攰㈱挶㝤㤸㜱搳㜰扥收㈵㤸戹㔶㌶挱㡦挰愴摤昳㤶搹㔹挲敦㉥㍡㘶㥡㔶ㄲ扦扦㐵㙢摢晣㌲㥤ぢ㘳㑥搱㡦搲〹ち昲㘶㑥㤷㠱㠱㌶挳敦㘳戰搱㡦搳㤰昹㕥〱〶㑦搰攰㐹ㅡ㌰〵㑣昸㝤ち戵㤶〳㙢换㙦昵㐳扦㑤㍥㠳づ㘰㤲㌹㘱㈶㠲㡢挹㘷ㄹ攱㌹㐶㘰晥㤶㤷㐹㈶㙤搹㑣㍥て㤳㜶㌳挹㌴㉦㘱昲〵㍡㘶扥㔷ㄲ㤳㉦愱戵㙤㈶㌳搰㑤㤸㝣㤹㑥っ㤳㤹㘸㌵㌰㕣㑣扥〲ㅢ晤㉡つ㤹㌸ㄶ㘰昰ㅡつ㕥愷〱㜳挹㠴挹摦愱搶昶㐵愵挰ㄳ㠰㍦愰㉢㌸㘵㥡㤹㠹攵攲昴つ挶晡㈳㘳㌱㈵捣换㈹昳挰㙣㑥摦㠴挹㑦㌸〱㘰づ㤹戰晢ㄶ㐳㌰㤹㉣㠹摤㍦愱戵㙤㜶㤹㜴㈶散晥㤹㑥っ扢捣㍣㌳㠰㕣散扥〳ㅢ晤㉥つ㐷〶ㅢ散愶挱ㅥㅡ㌰㔱㑤搸㝤て戵戰㜹ㅡ挸改㕦搰〱㥣㌲㜳捤っ挱挵改晢㡣昰〱㈳㌰换捣换㈹㔳换㙣㑥㍦㠴㐹扢攷㈹㤳搱㠴挹㡦攸㤸㔹㘹㐹㑣㝥㠲搶戶㤹㘴昶㥡㌰昹㔷㍡㌱㑣㌲㠵捤挰㜰㌱昹㈹㙣昴㘷㌴㘴㝡㕢㠰挱攷㌴昸ㅢつ㤸昱㈶㑣㝥㠱㕡晢扦㥤〷㝥㕣㝤〵ㄷ攰㤶㐹㜱㈶收㍥㙣㠹挹挷搵摦ㄹ昳ㅦ㡣挹〴㌶㉦户捣㕡戳戹晤㈷㑣摡晦㜱挵㐴㌷㈱昷㕦昴扣〸戵㈴㜲扦㐶㙢摢攴㌲㌳㑥挸晤て㥤ㄸ㜲㤹ㅥ㘷㜰戸挸晤〶㌶晡㕢ㅡ㔶〴ㅢ㝣㐷㠳敦㘹㤰㠰㠱㤰晢〳㙡㐷㜴攴攳㉡㜰敥愶昰㉥㕤㑣㌱攷捥㡣换挵㉦敦攱㘹摣愶挱㈵〳ㄸ㜸昹㘵㔲㥣捤㙦㈷㤸戴㝢敥㌲㡤㑥攸挵㡦改㔳ㄴ昳改㤲攸㡤愲戵㙤㝡搷愰㥢搰摢㤹㑥っ扤㑣扥㌳㌰㕣昴愶挳㐶昳㔱㡤㡡㠹㜹〱〶㌱ㅡ㜴愱〱㜳昵㠴摥慥愸つ㌳昴㠶㕥戸挷ㄵ收扣㜶㕣㘱敥づ㘷㘰㤹㠹㝤㈶扡敢〸搱㠳搱㉤㐶㘷ㄲ㥥㤷㘵㘶摥搹㉣昷㠴㐹扢㔹㘶慥㥥戰扣てㅤ㌳㘹㉦㠹攵㕥㘸㙤㥢㘵㈶昷〹换晢搱㠹㘱㤹ㄹ㝥〶㠶㡢攵晤㘱愳て愰㈱戳晦〲っ㝡搳愰てつ㤸㄰㈸㉣昷㐵慤昹㔸敢㝡㤶㑢攸㌹㐱㍦㜴〰㤳捣㄰㌴ㄱ㕣㑣ㅥ挴〸晤ㄹ㠱搹㝣㕥㈶慦㐱㥢捤攴〰㤸戴晦㜸戰ㅤ晤㠴捡っ㝡㘶晡㕦ㄲ㤵㔹㘸㙤㥢㑡愶〹ち㤵〷搳㠹愱昲㍡戴ㅡㅣ㉥㉡〷挲㐶㘷搳㤰㜹㠴〱〶㠷搰攰㔰ㅡ㌰戵㔰愸㍣っ戵づㅤて㐶〵㝤㍤ㄸ〴㉦攰㤷〹㠸㈶慣㡢摦挱っ㍢㠴㘱㤹㉣攸攵㤷ㄹ㠲㌶扦㐷挰愴晤晣㌲愹㔰昸捤愱攷晢㔱㑢攲㌷ㄷ慤㙤昳换㉣㐴攱㌷㡦㑥っ扦㑣㐵㌴㌸㕣晣收挳㐶て愵㈱搳ㄴ〳っ㠶搱愰㠰〶捣㕣ㄴ㝥㠷愳搶㈱㝥〳㙦敡㡤㠴ㄷ昰晢愸㉢慣㡢摦㔱っ㍢㥡㘱㤹㡢攸攵㤷〹㠸㌶扦㐷挱愴摤㐷〲愶㉣ち扤㐷搳㌱㜳ㄷ㤳攸ㅤ㡢搶戶改㘵㡥愳搰㕢㐸㈷㠶㕥㈶㍡〶戰㌷づ㌶扡㠸㠶㑣㠲っ㌰ㄸ㑦㠳㘲ㅡ㌰㉦㔲攸㉤㐱敤㘸㜳扣㙤昳㑡㝥㍢敦散㑤㠴㔳戰捤㘴㑡㌳ちㄷ摢㤳㌸㡡挹ㅣ挵㙥ㄸ㜸搹㘶戶愳捤昶ㄴ㤸戴㥢㙤收㐷ち摢㔳改㤸㠹㤲㐹㙣㑦㐷㙢摢㙣㌳愱㔲搸㥥㐱㈷㠶㙤㘶㔵ㅡㄸ㘸㌳摦挵㘶挲㐶捦愲㈱㌳㉥〳っ㘶搳㘰づつ㤸㠴㈹㙣捦㐵慤敤㙦㄰㠱搷㘵收愱㉢㌸㘵㝥愶㠹攵攲㜴㍥㘳㉤㘰㉣㘶㜳〹㠶㘳㔸㜳㌰㐴㤸㤱攳扤戳攰㑢〲㤲〸㤵㑣〷㉡㙤㕡㡢㝢戶㔲㘴攲㠹㕤㘲ち㑤㑣摡㤰づ㔳搷㠰㥢昱㘹摥〷挴㌴昷㝤ㄹ㠱扢昴昲㍣㝣㐷扡㔱挳㙣愳挸㡤摦晡ㅦ㌰搳摣㥦〳㙦㜹ㄲ〷晢㜰㡢㉥挴㄰㝢捤愸㉡㙦愸㙢慣慢㙣挲愳ㅦ㙢ㅢ㌳昸㌰愳捡㤴㤴摣愲挸昵昰ㄸㄸ㤳挰搲㙡〱㈴戲㡡て昷㠸㉤慦慤㕢㕤㉢愳㠹㌴昲㤹㑥挲㔷攷捥っ挳扢㉢戲ㅤっ昲㉣㘶㈶戱戳㍥ㅥ戲㕢㈷㡢愹㍤摣㉣愶昷㐸㠱戹㍣㔲㘰㍥て户㐸㉡㑥㄰摢㝢晦㠴扥搵㘲㔵慥㉡㔴㈲慤㜳㘷㤵敤㜹㜲㤰㉦㈹愷昹搱㉢搱㈸㜳㜲㈲扦〲攴昶㜵㑡㘶㤴㥤㌱㑥㍣㤷ㄳ㐳搰㈷㐲挴慣㑥㘸攰㠰愲㘵㤰晢ㄴ㡦㉦挳㈳㐱捣㐳㐲㌸ぢ愲㡢搰摥ㄵ敤㜲㙢ㅦ捦㕥㙥㡣挶搱搲ㅤ㉤慥㉣挴攸㘲戴昵㐴㕢昲昳㤵慤㌴挷扢摥换戰㔹ㄴ㤹ㄴ㤵㌰㔷㔱㈸㘵㈷㉣㘱つ捤愸攳㡡ち㈴㈷慥扡ㅣ㈸㌹㕤搰㠸〷㜱挲㈴㜴づ愸㑢㘱挶㜹㤰扣ㅦ㌵㍣愱ㅢㅥ搲〹㠹晤ㄸ愳㝦㙣㔶ㄷ㔳攸㙡ち摤㥣㠲戲㔰攰扥㔴ㄷ挳ㅤ㜹㤶〱搶挰㠱慥㠵㠸㔹㍤愱愴搳㘸ㅤ㘴㄰㕦昵㘸㑦收㙢〵㕡扣㝣㌵愰㉤㠰慦㝤ㅣ敦㌶㕦㠷㈳㡥晤㍣攳㔵㌰㔷扤㌸㉥㌶慤㘶つ〵㜹敦㡦㔶攱敢攷ㄸ慤攱㑢㜳捤㜰㜹愸㌳搱敡愷收〰ㄳ㘷ㅤ散㐰㑤㙦搴戹㔹㝤㑣愱慦㈹ㅣ攸ㄴ㔴㝦ㄴ㠴㥡㑤づ㌵㔴攸㔳攰㐰㥦ちㄱ戳〶愰㠱㘱㌵愷㤲收扣搱㥣㉡㥡㜳挳捡㌰捡扤戴挸愵㌸㤲攲㑣㈸㔵ㄶ㤴㠲散㉣搶搰㉣敦㠱㘸ㄵ㘴㙢〲㤱慤ち㐴㤶㙤攲㥣ぢ㔷㐰㜶〸敡摣㉣收扤㐸攱㌰㔳㌸摣㈹愸㈱㈸〸戲㈶㌷戲捤㜰愰捦㠷㠸㔹㐷挰〰㠵㘰㘴㌹㐶戹㤷ㄶ㈳㈸㠶㔳㕣㡡ㅥ㉡ㄷ㑡㐱㜶ㄹ㙢㘸㐶ㅤ㡦㙦㠱ㄴ㘴㑢摤挸㌸挷㘵㥦㔵〶㈲ㅢ㡡㑥㌲㠸慢㈰㠱㙣ㄸ㕤㘱戳㤸㘸㈲㠵攱愶㌰挲㈹愸搱㈸〸戲ち㌷戲慢攱㐰㙦㠵㠸㔹㐷挱㐰㥣㜲㍡㙢捥㕤捤改慡㌹㍦慤愳㡤㜲㉦摣换㌳㥥敤愷㍤㕦て愵ㅡぢ愵㈰扢㠱㌵ㄸ挸㝢ㅣ㕡〵搹戱㙥㘴捤戳㜱㐱㈰戲㈲ㄳ攷㘶戸〲戲昱愸㜳戳㡡㑤愱挴ㄴ㈶㌸〵㌵ㄹ〵㐱㌶捦㡤散㔶㌸搰户㐱挴慣㈹㌰㐰㈱㜸㥦㑤㌵捡扤戴㤸㐰㔱㐲㜱㉦㝡愸改㔰ち戲晢㔸㐳戳扣㘷愲㔵㤰㑤づ㐴㌶㌱㄰搹㉣ㄳ攷㈱戸〲戲搹愸㜳戳收㤸挲㕣㔳㈸㜵ち㙡〱ち㠲慣挴㡤散ㄱ㌸搰扢㈰㘲搶㌱㌰㐰㈱ㄸ搹戱㐶戹㤷ㄶ搳㈹愶㔱㍣㠵ㅥ㙡㈱㤴㠲散㘹昶㜷㌶㜵扣㘹㝤㠶㌶㘸㐵ㅤ㘹ㅦ㤰㠲㜷㠴ㅢ㙦昳ㅣ㉤〸挴㝢㈲㍡挹搰㕥㠰搴㉦㐲㜴㑢戵捡攸て㥢戵挸ㄴ攲愶戰搸㈹愸〴ち〲㍡摦〱㙤愱㠳㝥㤹㕥㕥㠱㠸愹㑡ㄸ挸搰㕦㐵㤵扤昸戶㤸ち㠰㍡㙥愳搳搲㌳㝤㤷ㅡ攵㕥㕡㤴㔲捣愵㜸ㄳ戶㙡ㄹ㤴攲敦㉤搶搰㉣敦㙡戴ち攸散㐰搰〷〷㠲慥㌱㜱摥㠱㉢散攴㕡搴戹㔹㜵愶㔰㙦ち㉢㥣㠲㙡㐲㐱昰㘶㍡㜸㘵㉣扢㠹㘲て㐴捣攲㉤㜷ㄴ㠲㤱慤㌲捡扤戴攰㤳㐱散㠷㜴㝦㡣ㅥ㙡つ㤴攲敤ㄳ搶愰㐳ㅤㄷ㘳㈰〵搹㝥㠱挸昶つ㐴戶づ㥤㘴㄰㥦㐳〲搹挹㜴㠵捤㍡挵ㄴ㑥㌵㠵昵㑥㐱㥤㠶㠲㈰敢改㈰㤳㡢㠷㕦挰㠱晥ㄲ㈲㘶昱挶户㌸つ摡㘷㥢㡣㜲㉦挲攸㌸挵㈲㡡晦愰㠷㍡ㄳ㑡㐱昶つ㙢㘸㐶ㅤ搷㜱㈰〵㔹㈴㄰㔹愷㐰㘴㘷愳㤳っ攲〷㐸㈰㍢㠷慥戰㔹扣㠱㉤㠵昳㑣㘱戳㔳㔰ㄷ愰㈰挸㤴ㅢ㔹㑡〴挳㔳㄰㌱㙢ぢっ挴㘹㄰戲ぢ㡤㜲㉦摣换搳挵敤攷㡣昳て㥡愸㡢愱ㄴ㘴㌱搶㘰㈰敦㑢搱㉡挸晥昹㑤搰㐷晢摦搱敡晦㘸扦捣挴改づ㔷㐰㜶㌹敡摣慣㉢㑣攱㑡㔳戸捡㈹愸慤㈸〸戲㉦攱㤲㘷㍤㔴㘸ぢづ㜴㑦㠸㤸戵つつ㠲㉣攸愳晤ㅡ愳摣换㕥㜵ㄴ晣㔵㡢敥㐳㉣㍢愰ㄴ㘴㝤㔹㐳㌳敡㈹敡㔷㤰㠲散晤㐰㘴㝢〳㤱㕤㠷㑥㌲㠸晥㜰〵㘴搷搳ㄵ㌶㡢昷㜴愵㜰愳㈹散㜴ち敡ㄶㄴ〴搹ㅥ㌷戲っ㌸搰㤹㄰㌱敢㔶ㄸ戴㈰攳愹㑡换㤹㡢㜵㥢㔱敥㠵㝢㝤㈸㝢慤㘲㠹て昴㔰㜷㐰㈹挸〶愱㕤昶ㄷ㕢㝦㡤㔶㐱昶㝢㌷戲收挳收敢㠱挸敥㌲㜱㜲攰ち挸敥㐶㥤㥢挵扢慡㔲戸搷ㄴ敥㜳ち敡㐱ㄴ〴搹慢づ㌲ㄹ㑢㉥挷㤸〷ㄱ戳ㅥ㠲㠱㈰ぢ㥡㡤てㅢ攵㕥戸㤷㠷慢㙢㍥愴㐳㡦㈲㤶㕤㔰㡡户搱慣愱ㄹ昵ㄴ昵㕢㐸㐱昶㘴㈰戲挷〳㤱昱晥愶っ㘲㉣㕣〱搹㘳㜴㠵捤攲晤㑣㈹㍣㘱ち㑦㍡〵昵っち㠲散㔱〷ㄹㄵ㝡ㅣㅣ攸㈲㠸㤸昵㉣ㅡ㐲㤱㍤㘷㤴㝢搹㙢ㄳ挵改ㄴ㔳㠸攵〵㈸〵搹㔴搶搰㡣㍡㉥搳㐰ち戲㝢摣挸㥡㑦㕡敥ち㐴挶晢㡤㌲㠸㤹㜰〵㘴慦搰ㄵ㌶敢㔵㔳㜸捤ㄴ㕥㜷ち敡て㈸〸戲㍢摤挸㘶挳㠱㥥〳ㄱ戳摥㠰㠱㌸つ㕡㘷㝦㌴捡扤〸㈳㑦㠰户㥦〵扦㤰㔸摥㠲㔲㤰ㅤ挷ㅡっ㔰㐷㕡〵愴㈰扢捥㡤慣㜹㌶㕥ㅢ㠸㡣昷晡㘴㄰㈷挲ㄵ㤰扤㐳㔷搸慣㜷㑤㘱户㈹昰㘶ㅥ㌷昵ㄷㄴ〴搹㜶〷㤹ㅣ昵ㄷ挱㠱㡥㐳挴慣昷㘱㈰㑥㠳㘶攳〷㐶戹ㄷ扥攴㜹昳昶㤳攷慢㠸攵㈳㈸〵搹㌲搶㘰㠰㍡㝥搱〱㈹挸㉥㜱㈳㙢摥㘷ㄷ〵㈲攳扤㌷ㄹ〴晦搶ㄴ㤰㝤㑡㔷搸慣捦㑣攱㜳㔳攰捤㌵㙥敡㉢ㄴ〴搹ㄶ〷ㄹㄵ扡ㅥづ昴ち㠸㤸昵㜷㌴戴散㌳捦ㄱ攴ㅦ㐶戹㤷扤㔶戳搷ㄵ㉣昱㘹ㄸ敡㕦㔰ち戲㤳搰摥㡣散㙢戴ち戲㌳摣挸㥡昷搹改㠱挸㜸攳㑢〶㜱㉡㕣〱搹㌷愸㜳戳扥㌵㠵敦㑣㠱㜷戶戸攱㑡㡥㠳㙣愳㠳㑣挶戲㠱㘳摣〸ㄱ戳ㄴっ挴愹散㌳㝥㈵㘸㌹挵戲㔲㡤㜲㉦㝣改戳搸敢ㅡ㤶戶搱戵摣㙤㘲敤ㅣ戴㌷㈳㡢愲㡢㈰㕢改㐶搶扣捦ㅡ〳㤱㜵㌶㜱捥㠷㉢㈰攳晤㈵㙥㤶㌶〵摥㔰㤲㤶㉥㑥㐱㜵㐷㐱昶搹ち〷ㄹ㈱敢ぢ㌸挶㉤㄰㌱慢〷っ㘸ㅣ昸㔵搵㌲㑡㐱挶㠷㑤搸捦攱扦㠲㔸昶㠱㔲㜸扡㤲㌵攸攸㕡昱づ㡦㈰㑢戸㤱㌵敦戳昲㐰㘴扣捦㠳ㄷ扥㡡挱ㄵ㤰敤捦ち㌶敢〰㔳攰㑤ㅣ㘹改攳ㄴㄴ㙦挹〸戲戸ㅢ搹㌵㜰愰户㐳挴慣㠳㘰㐰攳挰㌳攲晥㐶㈹挸昸ㄴ〹晢㠹晦㍢㠹㈵〳㑡㐱㜶ㄳ㙢搰挹㍢ぢ慤㠲㙣㝥㈰戲搲㐰㘴扣敤㠲ㄷ扥㡡挱ㄵ㤰昱ㄶぢ㌷㡢户㔹愴㜰㠸㈹ㅣ敡ㄴㄴ㙦㠶〸戲㌹づ㌲ㄹ换ㅤ㜰愰敦㠴㠸㔹㠳㘱㐰攳㐰㘴扣㑦㈲㑡㐱挶挷㐳攸扢㈹ㅥ㈰㤶ㅣ㘸挴摢㠳慣愱㔹摥戹㘸ㄵ㘴ㄳ〲㤱ㄵ〷㈲换㌳㜱㜶挱ㄵ㤰攵㌳㈸㌶㡢㌷㌸愴挰扢ㄹ㔲攰ㅤつ㙥㡡户㈱〴㔹㤱ㅢ搹㙦攱㐰㍦ちㄱ戳㐶挱㠰挶㠱挸㜸㠷㐲㤴㠲㡣捦㝤搰㝣㡡㠴㝥㤶㔸攴㉥〳㙢捦戱㠶㠲扣挷挲㕥㤰ㄵ戸㤱㌵慦戳愱㠱挸ち㑤㥣㤷攰ち挸挶㌱㈸㌶慢挸ㄴ挶㥢〲㙦㈶㜰㔳ㄳ㔱㄰㘴㜹づ㌲㉥〶晤ちㅣ攸㔷㈱㘲搶㈴ㄸ搰㌸㜰㥤昱㙥㠰㈸〵搹攳㌴㝢㡣攲㑤㘲㤱㉢晡慣扤挵ㅡち昲收ㄵ㝤㐱㤶ㅤ㠸散攰㐰㘴㌳㑣㥣㜷攰ち挸㘶㌲㈸㌶㙢㤶㈹捣㌶㠵㌹㑥㐱昱挲扢㈰换㜴㈳摢つ〷㝡て㐴捣攲戵㜷ㅡ〷㈲㕢㘰㤴㠲散㌹㥡㍤㑢昱㌱扡㕡挷ㄸ攵㈷㌲㥣〸慦㌲ㅦ攵戹〴ㅣ晣㕢敦挱摥攷敥㑦挰㜳昴㜹ㅢ㍥愵ㄳ㝥攴㙡晦㌴㌴㉤㜵昴㑦昳挵㡢捣晣㘵㌸摦㤱晤㠰晡晦攰㠷晢慡攵㐲㍥㍤づ挰㕢㝦ち挰㍤㑥〰㕣晣㡦㕦㤶㈶㙤㕦ㄴ㍡搵㜱昶晦改捥晦搶戸ㅥ㈷㥡ㅥ㈷愸捣ぢ㡢㈲扢搷㙦晢昲愶愳戲慦扥晤㐷攷晦昵て㌷㕤搴㍢㙤挱慥挲㑦攷摣摦晦㡣扦㙥㈹㔴㤵攸㤱つ㍦㝡て挵㝢ㄴ摣ㄳ捡〲慣户昰㈰㘶摦㔳慣㝢㌸ち敦㔳慣慤㈵昰㠴ㄷㅥ㐸㈷㍢㑢㉤㐷㠵㍢㑣㜵㐳て戲㈴挰晥㐱㘰㌵㘸敥ㄸ戰㕡搳㈳っㄸ〲愷晣㝣搰㡡㈲晥扦改㡤搵㐵㙡ㄵ㝡〴〱㑢㜷挶敦〳搶搹㔱㜸㥦㑥㙤慤㠶㈷扣㔲昴㌷㌶戰㜵愸〸戰㠸ㅢ搸㜷〴㜶ち㔴ㅤ〳㜶慡改ㄱ〶散攳㐳昲搲㙦改㜷㘵攱㠱㐷晥㜹㘰㜴攳ㄹ㠵敡㑣昴〸〲㤶ㄲ〶散挷晦搸扢搲晢搴㘹敢㉣㜸挲ぢ愹㌴㤸㘱摤㍡愹㜳㔱ㄱ㘰摦愳㐷昳ㅥ㑢㠳戲挷㘶愸㍡〶散㝣搳㈳っ搸㡥〹昷晥晤晢摦摤㔸㜸挶㜱慦㍦扣户搷收㐲㜵㈹㝡〴〱晢摡ㄹ扦㙦㡦晤摢㔱㜸㥦㈶㙤㕤〶㑦㜸攱て㥤摡挰慥㐲㐵㠰晤搳つ慣㉢㠱㕤つ㔵挷㠰㙤㌵㍤挲㠰敤㌹愹搷㙤㤳昶扣㔵㜸攵ㄵ摣㜶ㄶ慡敢搱㈳〸搸ㄷ㘱挰晥收㈸扣㑦㠹戶㙥㠰㈷扣昰慢㘵ㅢ搸捤愸〸戰捦摣挰㝡ㄱ搸慤㔰㜵っ搸㙤愶㐷ㄸ㌰摦ㅥ扢ㄷ㍤㠲㠰㝤ㄴ〶散㐳㐷攱㝤晡戳㜵ㅦ㍣攱㠵㐷㤶摢挰ㅥ㐲㐵㠰扤敦〶搶㡦挰ㅥ㠱慡㘳挰㜶㤹ㅥ㘱挰㝣㐷挵愷搰㈳〸搸敥㌰㘰敦㍡ち敦㔳㥤慤愷攱㠹㥢挵㉢挶㉣敢㉣ㅢ㈱㉦晢ち挲㍦扢ㄱづ㠴㔲扤㘸㔴㙦㍢慡㑥散㜷〸挱扦っㄵ㙢㈸扢户㤶㡦㠴ㅥ慦ㄸ㡢㌰戰㤶戹㉣慣て㠵ㄷ㝤ㄸ挵攱㄰敡㑤昴っ〲晤㝡ㄸ攸搷ㅣ㠵昷㐹捥ㄶ㉦ㄴ攳㠵晢㔶昰㡢〳换㍢愸〸搶㔷摣㔸昳愰散戱ㅢ慡㡥敤㑤㕥昴㤵ㅥ㘱〰昹挹㌶攷晥慤扦㜱晥㉦㔴ㅦ愳㐷㄰戰攷挳㠰㍤攷㈸扣㑦㘸戶㜸㥤ㄸ㉦摣扢戲㠱㝤㡥㡡〰㝢挶つ㙣ㄴ㠱㝤〱㔵挷㠰昱㥡㙦慢挰散㍤扥㜰㥣晣扦㈱㍥㑥晤〷㍤㠲㠰㍤ㅥ〶散㌱㐷攱㝤昲戲挵换挴㜸愵攸㐲ㅢ搸て愸〸戰摦扡㠱ㄵㄱㄸ挷搸㌱㘰捡昴〸摢㘳〲㘸摣㈲ㅢ搸戸挴㌸愵搱㈳㥢挳昱㥣㤵㍣ㄴ〶散㐱㐷攱㝤愲戲ㄵ㠳㈷〱㌶挹〶搶ㅤ㜵〱㜶扦ㅢ搸ㄴ〲戳愰挲㉢㝣㙤挹㌰㔳㕣愷㕢㍤㑤㡦㌰㘰扥㈳㘶ㅦ昴挸づ〰㜶㔷ㄸ戰㕦㍢ち敦㤳㤲慤扥昰㈴挰㘶搹挰晡愳㉥挰敥㜰〳㥢㐳㘰ㄹ㔰攱搵〱㘰㤹愶㐷扢㠱昱㡡㙦㜶〰戰㥢挳㠰摤攴㈸扣㑦㐰戶〶挱㤳〰㍢挶〶㤶㠳扡〰扢搱つ㙣㈱㠱攵㐲㠵㔷〷㠰攵㤹ㅥ㘱挰㝣〷㡦㔱攸㤱ㅤ〰散摡㌰㘰㍢ㅣ㠵昷挹挶搶㘸㜸ㄲ㘰㘵㌶戰戱愸ぢ戰㙢摣挰攲〴㌶づ㉡扣㍡〰慣挸昴〸〳〶㙦搸㜶ㄷ慥攳挹挹㐹ㄷㄷ慡㈹攸㤱㡤㈶敦ㅡ扢㉡っ搸㤵㡥挲晢挴㘲㙢㉡㍣〹戰㈵㌶戰㤹愸ぢ戰换摤挰慡〸㙣㌶㔴㜸㜵〰搸ㅣ搳㈳っ搸慦敡挷挴摥戸昶㥡挲搱㜷㍦戳㙡搷戶㤳ち搵㐲昴挸づ〰㜶㔱ㄸ戰ぢㅤ㠵昷㐹挴搶㜱昰㈴挰敡㙣㘰㈷愲㉥挰㉥㜰〳㕢㐱㘰㡢愰挲慢〳挰攲愶㐷ㄸ㌰㜸挳收ㅣ敥㔳㑥ㅣ愷慡搰㈳ㅢ㑤摥㍤㜶㙥ㄸ戰㜳ㅣ㠵昷〹挳搶㌲㜸ㄲ㘰慢㙤㘰戵愸ぢ戰㥦扢㠱慤㈵戰㝡愸昰敡〰戰ㄵ愶㐷ㄸ㌰摦改ㄶ㉦昶㘶〷〰㍢㍤っ搸㘹㡥挲晢攴㘰敢㈴㜸ㄲ㘰敢㙤㘰愷愲㉥挰㌶戸㠱㙤㈴戰つ㔰攱搵〱㘰ㅢ㑤㡦㌰㘰扥㠳〷慦昵㘶〷〰㕢ㄷ〶散㈴㐷攱㝤㈲戰㜵づ㍣〹戰戳㙣㘰攷愳㉥挰搶戸㠱㥤㑤㘰ㄷ㐰㠵㔷〷㠰㙤㌱㍤挲㠰㉤摤昲搹挹㠵〵㕢ぢ摦晥捦愹换ㅥ㙥㍡扤㔰㕤㠱ㅥ搹〱挰ㅡ挳㠰㌵㌸ち敦㤳㝥慤㉢攱㐹㠰晤挲〶戶ㄵ㜵〱㔶敦〶戶㠵挰慥㠱ち慦づ〰摢㙥㝡㠴〱ㅢ挰㔳挵晥扦㜷㡥㡡扦㉡㔴㍢搱㈳㍢〰搸昲㌰㘰换ㅣ㠵昷〹扥搶㑤昰㈴挰㉥戳㠱摤㠶扡〰㕢敡〶㜶〵㠱摤〱ㄵ㕥ㅤ〰㜶愷改ㄱ〶捣㌷ㄵㅦ㐰㡦散〰㘰攵㘱挰ㄶ㍢ち敦㤳㜹慤〷攱㐹㠰㙤戳㠱敤㐲㕤㠰㉤㜲〳摢㑥㘰扦㠵ち慦づ〰㝢搴昴㘸㌷戰㘷搱㈳㍢〰搸昱㘱挰㡥㜳ㄴ摥㈷敥㕡捦挱㤳〰扢挱〶昶ㄲ敡〲散㔸㌷戰㥤〴昶ち㔴㜸㜵〰搸慢愶㐷ㄸ㌰摦㔱昱㑤昴挸づ〰㔶ㅡ〶㙣慥愳昰㍥㐹搷㝡ぢ㥥〴搸敤㌶戰㜷㔰ㄷ㘰戳摤挰敥㈴戰摤㔰攱搵〱㘰㝢㑣㡦㌰㘰扥㉢㔸ㅦ愳㐷㜶〰戰㘹㘱挰愶㍡ち摦ㄳ㜲㍦㠱愷戶㥥㤰敢晡㈳戳㍤㄰㌴㔲挹㕣摤㉥㤵㜶㌳㉦攵㈲㘷扢慡扡㕡搲㥤扢攲㠱㤶つ昸㌳慦搳昱摣㔶㍣挶戲戴捡昹搳㠱㔳昰㍣㔷㍥ㅦ搰㍣㌲㔱㑢㡤㥤愳㤵戳ㅡ昰っ挵捥㤵㔳ㅡ昱扣摤㡡㜴晣㤹捡愶愶㐴㐳敤晦挲搳㉥㜱摢㤲扦收挶㘶㍦攷㌲㌰昷㥢㐹摤慤㍣㠸戴㠵て昳搷㕢㔳昹ㅣ捣㥦昶攸摤攸㝤㤸㘲收㈷ぢㄵ慥㈷扢愶愹挹搸挵㜶㠶捥㠶㤴ㅦ㘵捣㈹愹戸㈷〵㝢戹㈸㉤昷㌴㈰㘲晡㈱㌶晤ㅥㄶ㈲㔲㈲扣㔲敥〵挶㑣㝣晥慡㌵挵昳昷㔷扢㜴㈱㕡戳㈹㕥愸收っ㡡㍥〲㥦捤扦ぢ㑡ㅥ搷昸挰㜱晤挶㍦慥㐷㤳挷愵㜸愱㥢㘳㌳㥢晡挶㐴㝢ㅣ㤶挱㈴ㅣㅤㄸ散㐹㝦戰愷㍤挱㜸昱㌹㈹ㄸ慦攸ち戴㘷㐳㠳つてっ昶扣㍦搸㡢㥥㘰扣㈰㥣ㄴ㡣㔷㔹㈵搸换㈸〴㈳换つっ昶㉡㍤昳㥥㐳换敥㝤㥤㑤㉤扢㔷昱㈲㙤㔲㌰㕥昹㤴㘰扦㐷㈱㌸搸愰挰㘰㙦搰㜳㜲戰㌷搹攴ち挶ぢ愷㐹挱㜸㌵㔲㠲扤㡤㐲㜰戰㠱㠱挱晥㑣捦挹挱摥㘵㤳㉢ㄸ㉦㘶㈶〵攳㠵㐱〹戶〷〵昳挰慥攴搹搸㍦㌰搸㕥㝡㑥づ昶㍥㥢㕣挱㜸㕤搱ㅤ㉣挲慢㠹㈳㍣户扦㤲㝦㑤㘱㍦㌱㑣㝥换㌰搸㉥㍢㑦㍣攵㔳戸㕣昷慣昸㔳〹戶㐴づ㠵㑢敦㤱㈴搴㈵㙣㔳㥣扦昳慢㙢㈶㌸㑦づ㡥挸㥦昵㑥㘷㥤㝦摦㍢㔲㔳摡㤴愸敦㔲㘳㐷攷搱ㄶ㥤昰㐹ㄶ攵㌶慣㠳㠳㘷㜷昹愳扣ㅣ㉦户㝦㐴㥢攴㙥ㄱ㝥㙥昳愳㝤愹晥㑤攷挶摡搷捥〱攸敢ㅦ㈳㝤㐰昸㑦㡡ㄴ捣㤱攲搵㔶昲挴㙤搱摥㔵捤〳愸㤴敤て扥〱愸摥ㄸ〰〷㐱㝦敡㜰㔷敦㕥㌷慥㙢敥㉤敥㔲㕥昱昷㍥挰摤晢㐸昴㤶昹昵〹ち㈱㠷扢晤搰挱㝦ㄸ晥ㄴㅤ㍣ㄳ散㜳㌶戹㈶㔸ㅥ敡敥〹愶㐶愰㐱愲㝤㠱㠲晦愱っ敥㜹㥤慡㝡〴㠶晤㡡㌱㤲攷昵㍦搸攴ち㍢ち昵愴戰㠵㘸㤰戰晦㐲愱慤戰㍡㌰散搷㡣㤱ㅣ昶ㅢ㌶戹挲ㄶ愱㥥ㄴ㜶ㄲㅡ㈴散㜷㈸〴ㅦ㈸㍡〵〶晢㠱㥥㤳㠳愵攰㔹扦敥㘰㔳扣挱㘶㤹㘰愹戰っづ昶晤搷㐱晢㌱㡤㥥㤳㠳㐵㍤挱收㜸㠳ㅤ㘳㠲愵挳㌲㘴搶晣㍢㌰ㅡ㥦㔹散㠹搶搵ㄳ㙤愱㌷㕡㤹㠹搶ㅤ㤶挱搰扥っっ㘶昹㠳敤攳〹ㄶ昷〶㕢㘲㠲昵ちつ昶搷挰㘰晢晢㠳昵昶〴慢昲〶慢㌳挱晡挲戲慤㠹昹㝥㘰搸㝥晥戰晤㍤㘱㔷㜸挳慥㌶㘱㌳㘰ㄹ㑣攸扢㠱挱戲晣挱〶㝡㠲慤昵〶㕢㙦㠲ㅤ〲换㤰戹昲㘶㘰戴挳晣搱〶㜹愲㙤昴㐶㍢换㐴ㅢ〲换㘰㘸慦〷〶换昱〷换昵〴㍢摢ㅢ散ㄷ㈶㔸㝥㘸戰ㄷ〳㠳つ昳〷ㅢ敥〹戶挵ㅢ散㌲ㄳ㙣㈴㉣㐳㜸㝣㍡㌰摡㘸㝦戴愳㍤搱慥昰㐶摢㘶愲㡤つ㡦昶㘸㘰戴㜱晥㘸攳㍤搱戶㝢愳摤㘰愲㤵挰㌲㜸慦㍤ㄴㄸ㙣愲㍦搸㘴㑦戰㥤摥㘰户㥢㘰㔳㐳㠳摤ㄳㄸ㙣扡㍦搸㑣㑦戰㍢㍤挱㈲て愰挱㝢晥攳捡㑥㑡晥㈶挵捦昳㝤昱㥤戳ㅡ㡦摤挶㥦戶攰ㅦ㐸ㄸ㕣㡤㙦㐴敤昸㝢ㄴ戳㌱㄰挵慦㐱昴愱攷戰挶㤳〳扥㝦㠳㔶づ㐳捦㘵敢愳挶愶搴㙤挳慦ㄳ㘲㌳㡦慤㑦ㅢ㥢昹㙥ㅢ㝥ぢ㄰㥢〵㙣攵ㄷ〰㠹㜵㡣摢收㔵㘳㜳㉣㕢㜹摥㉥㌶ぢ摤㌶㙦ㄸ㥢攳搸晡愶戱㌹摥㙤挳㔳㘵㠹昵㌳戶扥㙢㙣㑥㜰摢昰っ㔷㙣㑥㘴㉢㑦㙥㈵㔶㤹摢㠶㈷㈹㘲戳㠸慤㍣㍦ㄱ㥢戸摢㠶㘷ㄴ㘲戳㤸慤㍣㤹㄰㥢㜲户つ㍦晥挵愶㠲慤晣攴ㄷ㥢㠴摢㠶㥦摡㘲㔳㈹慤㡥㑡㉦㜱摢昰挳㔶㙣㤶戲㤵㥦戳攲愷捡㙤挳㡦㐸戱㔹挶㔶㝥㍡㡡捤㜲户つ㍦搹挴愶㥡慤晣㔰ㄳ㥢ㅡ户つ㍦㤰挴愶㤶慤晣㉣ㄲ㥢㍡户つ㍦㍤挴愶㥥慤晣攰㄰㥢ㄵ㙥ㅢㅥ昴挵愶㠱慤㍣摥㡢㑤愳摢㠶㠷㙡戱㘹㘲㉢㡦搲㘲戳搲㙤挳㈳慣搸慣㘲㉢て慥㘲戳摡㙤挳〳愳搸慣㘱㉢㡦㠹㘲戳搶㙤挳挳㤹搸㥣挴㔶ㅥ挹挴㘶㥤摢㠶〷㈱戱㌹㤹慤㍣晥㠸捤㈹㙥ㅢㅥ㍢挴收㔴戶昲戰㈱㌶敢摤㌶㕣昲㘲戳㠱慤㕣敤㘲戳搱㙤㈳㑢㡦慢敥㌴戴㥡捤攲ㄲ㤴换㙢愷愳㠰㜴〷㔹㝣戴㌲挹ㅦ戴戴戸〸挵敡っ摢㑡㤶ㅦ慤㤲㝣㜱ㄹ㡡搵㔹戶㤵㉣㐰㥦ㄵㄷ愲㔸㥤㙤㕢挹ㄲ愴㔵㔲㐴㉥㐵戱㍡搷戶㤲㐵攸昳挵挵㈸㔶㥢㙤㉢㔹㠶㍥㉢㉥㐷戱晡㠵㙤㈵ぢ搱ㄷ㤱ぢ㔲慣戶搸㔶戲ㄴ㝤㔶㕣㤲㘲㜵㤱㙤戵ㄸ晦〹搷㐹愳攷愲ㄴ慢㑢㙣㉢㔹㡥㍥㕦㕣㤶㘲㜵㤹㙤㘵㉦㐸㉦慢㕣㤸㘲㜵㠵㙤㈵㑢搲㠷㤱㑢㔳慣慥戲慤㘴㔱晡㈲㜲㜱㡡搵搵戶㤵㉣㑢㥦ㄵ㤷愷㔸㙤戳慤㘴㘱晡㈲㜲㠱㡡搵㜶摢㑡㤶愶捦ㄷ㤷愸㔸㕤㙢㕢挹攲昴昹攲㈲ㄵ慢敢㙣㉢㔹㥥㍥㕦㕣愶㘲㜵㠳㙤㈵ぢ搴攷㡢ぢ㔵慣㜶摡㔶戲㐴㝤扥戸㔴挵敡㘶摢㑡ㄶ愹捦㡡㡢㔵慣㙥戵慤㘴㤹晡慣戸㕣挵敡㜶摢㑡ㄶ慡㙦㕣㕣戰㘲㜵愷㙤㈵㑢搵㘷挵㈵㉢㔶㜷㠹㤵㘵ㄶ㤸攲晡㤴敢摥搳昱愱捦〴挷昱攸㥢㡥㍦搲挱㈵㈹㡡㘹ㅥ〵㔷愱㈸愶㝡ㄴ㕣㜸愲㤸攲㔱㜰慤㠹㘲戲㐷挱攵㈵㡡㐹ㅥ〵㔷㤴㈸㈶㝡ㄴ㕣㐴愲㤸攰㔱㜰摤㠸愲挴愳攰㔲ㄱ㐵戱㐷挱搵㈱㡡昱ㅥ〵ㄷ㠴㈸㡡㍣ち慥〱㔱㡣昳㈸㌸敤㐵㔱攸㔱㜰愶㡢㘲慣㐷挱挹㉤㡡㌱ㅥ〵攷戳㈸㡥昶㈸㌸㠵㐵㜱㤴㐷挱㔹㉢㡡搱ㅥ〵㈷慡㈸㐶㜹ㄴ㥣㥢愲ㄸ改㔱㜰㍡㡡㘲㠴㐷挱ㄹ㈸㡡攱ㅥ〵㈷㥤㈸ち㍣ち捥㌳㔱っ㑢㔶㜴昹㝦㌰搰㔷㑥</t>
  </si>
  <si>
    <t>㜸〱捤㝤〷㤸ㄴ挵搶昶搶戲㍢㙣つ㘹㔰挴〰〸扢戲ㄲ㠵㕤㌲㉡㤲㤶㥣㠴〵ㄴ㠴扢っ扢戳戰戰〱㌷㄰捣〱㡣㘰攰㡡㠲㘲㐲㌱㈰㠶敢ㄵㄳ攸晤挴㜰つㄸ慥㡡搹捦戰收㥣㜳昸摦昷㜴ㄷ昴㜴㔷㙦戸摦晤㥦攷㌶㌳㘷慢敡㥣㍡愷摥户慢㝡㝡扡捦㌴㈹㉡㈵㈵攵㑦㙣晣换㉤㡤㠵昶昹㉢慡慡ㄳ㘵扤㐶㔶㤴㤶㈶ち慢㑢㉡捡慢㝡つ慦慣㡣慦㤸㔸㔲㔵摤〴〶㤱㠲ㄲ攸慢搲ぢ慡㑡㑥㐸㘴ㄴ㉣㑤㔴㔶挱㈸㍤㈵㈵㈳㐳愷㐲㝦愰晢㡥㤹㡡㘶㉦㥤㐶〱慢ㄴㅤ愱㘸㑡㤱㐱愱㈹愲ㄴ捤㈸㥡㔳戴愰㘸㐹搱㡡㈲㐶搱㥡㘲ㅦ㡡㝤㈹摡㔰散㐷搱㤶㘲㝦㡡〳㈸ㄸ㕦ㅦ㐴搱づ愲㜹㝢㠸改㈳㐷㑣㤹扦〸㘸昲慢㉢㉡ㄳ㍤㍢捤㜴挶㍣㈴㌷户㔷㙥慦晥㌹〳晢昴捡改搹㘹㘴㑤㘹㜵㑤㘵㘲㐸㜹愲愶扡㌲㕥摡戳搳搱㌵昳㑢㑢ち㈷㈴㔶㑣慦㔸㥣㈸ㅦ㤲㤸㥦搳㜷㝥扣摦愰摣㝥晤晢ㄷてㅥ㍣愸㜹〷㜸㥥㍣㜲挴搱㤵㠹攲慡晦㤴捦㠳改㜳捡挸ㄱ扤㈶㈷慡晦㔳㍥㍢挲㈷㕣收㔵㤴挵㑢捡晦㐳㑥搳戹㑦晢攷㈵ち㑢戸昳ㄳ㠹捡㤲昲〵扤㌰散㈴愲㔱ㅢ搸㙢㜸㔵㔵㑤搹ㄲ捥愳㤱㠹搲搲㘹㠹㘲搹改㘵㜹㔵搵㐷挷㉢换慡㥡㤷㤱扦㐴㘵愲扣㌰㔱搵戲㙣搴昲挲㐴愹㙢㔸㤵㔱㌶㌳㕥㌹㌹㕥㤶㐸㘳愱㔵㤹戳て挷ㄵ㈵捡慢㑢慡㔷戴㈸㥢㔱㤵㤸ㄶ㉦㕦㤰愰㐹㝡搹㤸㥡㤲㈲㤵㤶㠶㔷㑡㤳㉥戶㤱挹㡥挲㜸捡㐶㉥㡣㔷㔶㑢㡤扢㌰搷㘶敢㤹㉥㠲㈲㘹㕣㥣㔲㥤㝣扤戸捦昲㑢捡㈶㈴㉡换ㄳ愵っ挲㍤搹挳㘷㈴〴㌹晢㘱て㔳〶づ昷㤲㙡收㉥㍥㘲㘱㤴㐸㈷㠸㕥㤳㉢㉡换㌰㈱㈷㈵攲攵㐳㜲㝡攵昴ㅢ搴扦㘷㝥㜵㔱㕥㘲㈹㙢戹晤㜲〷㈷㙤㍡ㄳ㝤㜴ㄶ㝢ㅦ〲搱㘱㐶㝥愷挹ㄵ㘵㈵攵昱搲㑥攳捡慢挱㜴㔵㜵愷㘹昱敡㐴愷㍥㌹㝤㜳㜴㘷ㅡ㘷㐳愸戴搷㜰㈸昰づ㠰换㌱戵㈰㥥㕡㌰㍦戵愰㌰戵愰㈸戵㈰㤱㕡㔰㥣㕡戰㈰戵㘰㘱㙡㐱㐹㙡挱愲搴㠲挵戰㌱㕢㐶搳愶愹敥昶挲㐱㡦扤戲㘶搹㘹㤳户慥㕦戸晦㑦㤱捥摦㉡慥㝥㌹㜸㜴㐱㈱搳て愸扦ㄷ㔰捥攰㠱晤㜵㔷㤸改㙥㄰㤱敥㄰㙤㈷㈵㤶㤷ㄴ挶换〱愰戸㌴捥戹㠴挱昷ㄹ愰㝢搰慡㈷㠴㔲㉦㘰昰〴㤰搹㈶戲戳戰㜶攴㤸㕢敥改㕥晣㝥㥦攳敥㔰㍣攴㐸攴㕥㈸㠰㠹㈴㉡晢㈴㐵捥捤改慦㝢搳㘵づ㐴㈴ㄷ愲㌵挸昳挶散摢㑦昷愱㐱㕦〸愵㜶戹㌱㙦㥦昵挶㥡敤敢敥ㄹ户愹㈰㘷㙤敢㡥㑤㜶㈹ㅥ攱㈴㘶㝦ㄴ晣㌱晢昵昱愲捤捤敤慦〷搰攵㐰㠸挸㈰〸㉢㔸散愹挱戴㍡ㅣ㐲愹㐷摤挰㥢㈶摦戶㙣㑥摦搵㘳慦晤㘷攷㘵搹〳㥡㝤愶㜸㔴㤵挰㐷愲攰てㅣ〴㍢㠴㉥㡦㠲㠸っ㠵〸㠰敤愳㠷搱㘰㌸㠴㔲て扡㌱㔷晣㜵换㌹晢攷捦ㅤ㝦搶戱㙦捥㕥㌵戶愰㐲㜱㍤㑢捣㤱㈸昸㘲收收㈶捦㔵散搹㍣扡ㅣ〵ㄱㄹつ㤱㘵昶㙣攸ㄴ敤愳挷戰挷㔸〸愵敥㜱〷㜱挸摢㤳㠶捥戹㜲摡攴敤㔹㕤敦捦敢昲攸㔷㡡ㅦ㈲㌲㠸昱㈸昸〶㤱ㄳ㘴㝣〲㕤㑥㠴㠸㑣㠲戰㌳摥㔷㑦愶搵ㄴ〸愵敥㜰〳て搸愷攲㤹㌱搷㡣ㄸ㝥㐵㥢收㍤ㄷ㐵搴户㡡ㅦ㕣ㄲ㜸㉡ち㡤㕤愹搳ㄸ㈰ㅦ㈲㌲ㅤ愲捥㤵摡㔷捦愰昱㑣〸愵㙥㜶㐷㌳戱挳㠳扤搶ㄵ㑤ㅤ扢昶捣㌹挷㝦㥣昷㑢㑢搵っ㙡ㄹ捤戱㈸昸㘸戰散㡢㔹㜴㌹ㅢ㈲㜲ㅣ㐴晤晢㈲㐷捦㘱㡦戹㄰㑡㙤㜲〷㜱摡慥ㄹ㔷㉤㈸摦㥡户㈳㍡昰捦ㄱ攳搶㍥愵昸〹㉥㠳㈸㐰挱㌷〸换扥㤸〷㉢ㅤ㠷㠸捣㠷戰敥㡢㍥㠳㜵㈱慤㡡㈰㤴扡挲つ摣敦㤳㜷㌶㕣摤戲㘸搲㙤扦愷㙥㝥戹晢㐵㈹㡡㘷つㄲ戸ㄸ〵㝦攰攰散㕦㐰㤷ぢ㈱㈲㈵㄰晥搹摦㘷愰㕥㐴㠳挵㄰㑡㕤攲挶晣摢㑦ㄳ㔶昴㑣㝤㙦摣㑤摦扦扣㙦搵捣ㄷ㜶㈹㥥愴㐸捣㌲ㄴ晣㌱㠳ㄳ慦㥣㉥㉢㈰㈲㑢㈰慣㘰㜱㡣㌹㥥㔶㤵㄰㑡慤㜱〳捦㤹摡㝦摢搸昶扢挷㕤㝣搹摢晢㤶摣㜶攷ㄶ挵ㄳ㈳〹㕣㡤㐲㘳㈷㕥つ〳㉣㠵㠸㉣㠳愸㙢攲昵ㄹ愴㤷搳㜸〵㠴㔲㘷戹愳搹㜲收㉦㈷摦昱搴㡡㤱摢搶搶㉣摣㜲挹㜵㑤ㄴ捦搰㘴㌴㈷愲搰摢㜷㤴敤㌷搰㝢挴换改摢㉦改昳㙡昰〰㝤ㄲ㈳㥣っㄱ㌹〵挲捡㑡㥦晥晡㔴㕡㥤〶愱搴愹敥㌸㥥㙦㔷晥㘳晣攴㑦㐶㙣㌹晡㤷昳扦㐸摦㝤㤳攲㐹愲㡣攳っㄴ晣扢㈳㌸〵捥㠴㤵㕥〹ㄱ㔹〵攱㥦〲㌸攸㥥㐵㠳戳㈱㤴㕡敥挶摣㕡扥昴㡢㔶㐳㥦㥡㜰㕦挶挹晦摣㤸㤸搵㔵昱㥣㔴㘲㥥㡢㠲㉦愶㘵搱㥤㐷㤷攷㐳㐴㔶㐳搴扦攸晡敡㌵散㜱〱㠴㔲挷扢㠳㜸扣攵㤹挷摣㍦㘶摡㤴㍢摥敤㝥挶〳摢换攷㈸㥥ㄳ换㈰㉥㐲㈱㌰㠸攴㡦ㅣ㜰㜹㌱㕤慥㠵㠸晣ㄵ愲摥㐱愰挷㈵散戱づ㐲愹㐵敥㈰摥㍣散㡢㤷㙡ㅦ戸㙤昸昹扦㝤㜸晣晢㕦慤㥤愶㜸㑥㉥㠳戸っ〵摦㈰㜲㠲散慦愷换つ㄰㤱换㈱晣散㘳搱㕦㐱㠳㡤㄰㑡ㄵ扡㌱㝢捦㝤㜹㙡收㙤㘷つ㍢晢攲敦搶敥㙡晢攲㌸戵ㅦ搴ㄲ昳㉡ㄴ㝣㌱㉤散㕦㑤㤷搷㐰㐴慥㠵愸ㅦ昸㈰扤㠹㍤慥㠳㔰㙡㡥㍢㠸攷慦扦昳㤴つぢ搲㈶㕦㌵㘸昶挶㥤慤㝦㕦慤昸ㄵ㐴〶戱ㄹ〵摦㈰㉣㠷扣ㅢ攸昲㐶㠸挸㑤㄰昶昹㍥㔰摦㑣慢㉤㄰㑡捤㜰〳㜷换㝡愴攰搰搴戴昱昷㥥昷挹晡〷㡦敦㌸㑢昱㙢㡦〴摥㡡㠲㍦㜰㤰昱㕢改昲㌶㠸挸敤㄰㝥挶晢昶搵㜷搰攰㙦㄰㑡㑤㜶㘳ㅥ昵搶搸慦慦换扦㜷攴㕤㘳㑦晦愱㜵摥㘵㑢搴〱㔰㑢捣扦愳㜰㔸昲㕡挷改㑣搲戹愹㙦愹敢扢攸㝦ㅢ㐴攴㙥㠸晡改ㅦ愰敦㘱㡦㝢㈱㤴ㅡ攳㡥㘸挲㤷〷扦㍣户换㥡㈹㝦摤㜰昸㤲㜱扦㤵㙣㔷〷㐲㉤㈳扡ㅦ㠵挶ㅥぢ户㌳挰づ㠸挸〳㄰㜵ㅤぢ晢昶搱て搲昸ㅦ㄰㑡つ㜳㐷昳挷㜷㑦㔷捦㍦㘲挵㤴ㅢㄶ敥㑥戹攲挹㔳扥㔰〷㐱㉤愳㜹〸〵晦㍥〹㝥㈴散愴换㠷㈱㈲㡦㐰㔸㈷㐳摦㕣晤㈸慤ㅥ㠳㔰㙡戰ㅢ㌸攳昴㥢㑥敡㤰摡㘱昴捡㉦扦戹攵愲昵捤捥㔲敤愰㤶挰㡦愳㔰㝦攰㈷攸昲㐹㠸挸㔳㄰昶挰㝤昴㉥㕡㍤つ愱㔴ㅦ挳晦捣㈱㠳㥥扢㘵昷昸㙢㍢㥣㝤㘵昷㠷挶㡤㙢晥㉣搴㔳摤慦㉥㜹㤵昱㘵昸㌲戸昷㝢㈶扥㕣昳㕦晤㕦戰昱晤扡戸㝦昱挰攲摣摣愲晥㌹昱扥昱昴㑣戸㙤攸㌷㌹㝥〰㌵㉦㍥愶愴扣愸㘲㤹㝣戵㙢㍦㈲㕥㤵搸晢㑤慦㠷慢ㅢ㔱㔱㔳㕥㔴搵捥慥捣慦挶昷愲㠳晣扡扤㑥〲摤昲昱挵㌷㔱㈵昱づ昶㜷㥢ㄹ㉦慤㐹っ㕦㕥攲愸㍢昸搴昸摡㕢㌱㍦㕣㍢扡㌲㜱晣ㅥ㙤㘰㐴挳㜱㕤㘶愹昸づ愰㜴㔴捥戸㍡㡤㕣㔸㔱㤵㈸㤷攱昵㈸㍢扡愴㜰㜱愲㌲㍦挱慢㍡㠹㈲㠱扡ㅦ㔵敥㜷敦ㅥ㔳捡〱ㄴ摦愶㡢戲扣慤挵愳㤶㔷㈷捡㡢ㄲ㐵ㄸ敦㤲㐴㘵昵㡡改昱昹愵㠹戶㐹㈶㑥㑣㈸づ㑣㙡ㅥ㕤㔱㔸㔳㌵戲愲扣扡戲愲㌴㔹㌳扣㘸㘹ㅣ摦昷㡢㈶㔵ㄴ㈵昰㜵㍤㡤㕢㡡㑡㘹搲㐴愹㤴敥戶敦捣昴㕢搵㑢㜶㠴㘷ㄷ㜷挰㍥㍦㈰㜹摡昵㥡〶㜴㐰㔱㥡攰㥣㑣敤㕣㡦㌳昱㑢㌷摤挲つ㍤㤸㜸〹㡣搶㕤挳慤㘵㡣㝢昶摣晦㕦攳搴搴㝤㕤昴愳㤶攲㥡挸搸㜸㜹㔱㘹愲戲捥ぢ㜸㡡㈳搲捦㐱愴昷挶㙡づ㘵㉦つㄶ㙡戹㕡㤱扥慣愴愸㝡㘱㘴㘱愲㘴挱㐲㥥㘸攲㈲㕦㐶〶愹つ㙣晡㜹㌴改ㄷ㈸㕥㠴㠸㐶㔳㈲扢㘹ㄴ㠹敡㤷㥣㝡㝡ㄶ晥㌶晥㙡㑢㉡㝡㘹戹扡㠳㑢㜱㔵改㘵愳㉢㉡慢㥡㌴戱愱ㅣㅢ慦㕡㔸捤改㔹户㤲晥㕥愶㜸〵㈲扤㌳㐴扤ㄷ㜳㕡挱㈸㡤搷慣㕡㤴攵㈵㡡攳戸㔲㈸慢㕢挵搳换㥣㡢㑦㜹㠹慡㐲捤慢㔴攳戰㔶㤶㐷㔰挲攲㙦㕥挶搹㥦㔸㕥㥤ㄷ慦㡥㌷㉤挳昵㉥散㈵つ愳ㅥ搲换㈹戱㘷ぢ㘹㌳扤愳㙥つㅥ㘲㔲昴㜸㘹㈶つ㡥㈷㉣ㅣ慣㤷㤴㈶慥慣ㅢ〴挶㝥㌰㐰㐴晣ㄳ㍤昹扡ㄵ㉥愷ㄵ㡤㐹㤴㑦㕦戱㈴㔱㐵昳㡣㐸㥤㔴晡㤷ㄷ㥤㑤㈹㥣㍦愳扡愴戴慡ㄷ㐶㍡愶戲愲㘶挹㝦搲て㝤改㔷㈱捣㤶㝥㈸㘶㜱挳㌱㠱慥㤴愶㑢戹㙦ちち㔲㌲攸㡤㉤晡㄰ち捥㔶㌸晢ㄳ㝦㘴搳㙦攲㑦戴㉥㕤㝡㌶㉣ㅡ㜳㡤㉦ㅤ昶捤换挰搰昴捡㠴㕣戵捣㤰ち搸㙥㔱㜶㑣㐵攵攲昹ㄵㄵ㡢㌹㥦㕡㑡慤㙡㘱㈲㔱捤㉢㠱捤摣㉢㥦㜲㠵㔳愹㈶㑤㤲慥搲㜹㉥ㄹ㜶㠴晦挸㍢㄰㉤㠶㤷㤶㜶㌲ㅥ慢㈲敦愲愹〹慥㐹㐶㙡㔱攸㌸ㅤ㥦捦戸〴㥥攸㔴ㅣ㠷ㄵ㉥愴昵敢㤴扦㄰搷㘶て换敤戵扣戴㙡戹㙡てㄲ㜸㈹敤㡤愷摦戹㘹昱愸㌳㈶㕣㥡晢挱捡摡㕥昷散㔶敤㕣㐵攰敡㕥㔷戸捤挴㕢㝦〰愱づ㠴ㄹて㉥㈸㈷㙦晡㈳搴昵挷ㄴ㥦㐰攰㄰㈱愴攳〸昱㤹㔳㔵摤昰㤷㐷〹晤㌹挵ㄷ㄰慡〷〴搷愸晥ㄲ挲㙣㉡〶晦摣昵戲晢扡愳㌹戸晢扥㐵㙢㔴搷愱㔳㍤㘱挱㕤愸㐹㤹㈶㐹㥡〴愹〸ㅣ㕢〹㐸㜷ㄵ㠱㡢㡣扤搱㑤〸昸㡤晤㥢挰捣㑥挰ㅦ㡣㐱㘲㌴㈷㥥㠷㠰㔴愷慡㜲愰ㄳ〲㥡愰㐱昳㠶㡣敡㠳㈶㈱㈰ㅤ㌵戳愹㕦晥昰㄰㤰㡢收㈰〱㥡㍥㜵ㅤ㍡搵ㄷ晤㙣〴㝣〵攷㔶〲扥㜴ㄵ㠱㉢㥥〳攰㈹㤳愳搸㠷㐳晥ㅣ㘶㜶〲摡㐰慤昷愳㘸ぢ攱㈱攰〰愷慡〶挲㠹㄰㜰㈰㡤づ㠲㔰㠳搱㈴〴戴㐳捤㙣敡㍤㉦〱㠳搰ㅣ㈴愰㈳㝤敡㍡㜴敡㜰昴戳ㄱ昰㕡ㄸ〱慦扡㡡挰㤵搷㈱昰㤴挹㔱㜴攵㤰㕦づ㈵愰㍢搴扡〷㐵㑦〸て〱扤㥣慡㍡ち㑥㠴㠰摥㌴捡㠱㔰挳搰㈴〴攴愲㘶㌶昵㡣㤷㠰愱㘸づㄲ搰㥦㍥㜵ㅤ㍡㌵ㅣ晤㙣〴㍣ㄲ㐶挰挳慥㈲㜰ㄹ㌸て㥥㌲㌹㡡愳㄰㔴㍤ㄴ㑡挰㌰愸昵㜰㡡ㄱ㄰ㅥ〲昲㥣慡ㅡ〵㈷㐲挰㈸ㅡ㡤㠶㔰扣〲㉣〴㡣㐱捤㙣敡㕥㉦〱愳搱ㅣ㈴㘰〲㝤敡㍡㜴㙡㉣晡搹〸戸㉤㡣㠰㕢㕤㐵攰ㄲ昴〴㜸捡攴㈸愶㜳挸户㠴ㄲ㌰ㄳ㙡㝤っ挵戱㄰ㅥ〲㘶㍢㔵㌵ㄱ㑥㠴㠰攳㘸㌴〷㐲㑤㐶㤳㄰㌰ㄷ㌵戳愹㑤㕥〲㈶愱㌹㐸㐰㥣㍥㜵ㅤ㍡㌵〵晤㙣〴慣て㈳攰㌲㔷ㄱ戸ㄴ㍥つ㥥㌲㌹㡡㐵ㅣ昲扡㔰〲㑡愱搶㘵ㄴ攵㄰ㅥ〲㤶㌸㔵㤵て㈷㐲挰昱㌴慡㠴㔰㌳搰㈴〴㔴愱㘶㌶戵摡㑢挰㜴㌴〷〹㔸㐶㥦扡づ㥤㥡㠹㝥㌶〲捥〸㈳攰㜴㔷ㄱ戸晡㍥ぢ㥥㌲㌹㡡搳㌸攴㔳㐳〹㌸〳㙡㝤㈶挵㑡〸て〱㘷㌹㔵㌵ㅢ㑥㠴㠰戳㘹㜴づ㠴㥡㠳㈶㈱攰㕣搴捣愶㤶㝡〹㌸づ捤㐱〲搶搰愷慥㐳愷收愲㥦㡤㠰搲㌰〲ㄶ扢㡡挰㤵晦㜹昰㤴挹㔱㕣捡㈱㤷㠴ㄲ戰ㅥ㙡扤㠱攲㜲〸て〱ㅢ㥤慡㡡挳㠹㄰㜰㈵㡤慥㠲㔰㠵㘸ㄲ〲慥㐶捤㙣㙡㥥㤷㠰昹㘸づㄲ㜰ㅤ散愳扡づ㥤㉡㐲㍦ㅢ〱㌳挳〸㤸攱㉡〲㜷㈰㜸㑢㈱㤳愳搸捡㈱攷㠷ㄲ㜰ㅢ搴晡㜶㡡㍢㈰㍣〴摣改㔴搵㐲㌸ㄱ〲晥㑥愳扢㈰搴㈲㌴〹〱摢㔰㌳㥢ㅡ敦㈵愰〴捤㐱〲敥愳㑦㕤㠷㑥㉤㐶㍦ㅢ〱挳挲〸ㄸ敡㉡〲户㐳捡攱㈹㤳愳搸挹㈱て〹㈵攰ㄱ愸昵愳ㄴ㡦㐱㜸〸㜸摣愹慡ち㌸ㄱ〲㥥愰搱㤳㄰敡㜸㌴〹〱㑦愱㘶㌶搵捦㑢挰ㄲ㌴〷〹㜸㤶㍥㜵ㅤ㍡㔵㠹㝥㌶〲扡㠷ㄱ搰捤㔵〴㙥换搴挰㔳㈶㐷昱ち㠷摣㈵㤴㠰搷愰搶慦㔳扣〱攱㈱攰㝦㥤慡㕡ち㈷㐲挰㕢㌴㝡ㅢ㐲㉤㐷㤳㄰昰づ㙡㘶㔳〷㝢〹㔸㠶收㈰〱敦搳愷慥㐳愷㔶愰㥦㡤㠰㌶㘱〴散敢㉡〲㜷㠲㑥㠲愷㑣㡥攲ぢづ戹㜵㈸〱㕦㐱慤扦愶昸〶挲㐳挰㜷㑥㔵㥤っ㈷㐲挰昷㌴晡〱㐲㥤㡡㈶㈱攰㐷搴捣愶㌲扣〴㥣㠲收㈰〱扦搲愷慥㐳愷㑥㐳㍦ㅢ〱㝦晣ㅥ㜲㉡晣扢慢〸摣㠲㍡ㄳ㥥㌲㌹㡡戴㔴っ昹㔷㤸搹㑦㠵㈳㔰敢愶ㄴㄹ㄰ㅥ〲愲㑥㔵慤㠴㤳㉣㍡㙡㐶愳收㄰敡㉣㔴㠵㠰ㄶ愸㤹㑤㝤㠳ㄸ㝢扥っ慤㐲㜳㤰㠰搶戰㡦敡㍡㜴㡡㌷戹㙣〴㝣ㄴ㐶挰㠷慥㈲㜰㍦散㍣㜸ㄲ〲づ攲㤰摦て㈵愰㍤搴扡〳挵挱ㅣ摤摥㙦㠳㥤㥣慡㍡ㅦ㡥戲〸㈷㤳㐶㔹㄰㙡つ慡㐲挰㈱愸㤹㑤扤攱㈵㘰㌵㥡㠳〴㜴㠱㝤㔴搷愱㔳ㄷ愰㥦㡤㠰攷挳〸昸㤷慢〸摣㡢扢ㄸ㥥㠴㠰ㅣづ昹搹㔰〲晡㐰慤晢㔲昴攳攸昶ㄲ㌰挰愹慡戵㜰㤴㐵㌸〳㘹㌴〸㐲㕤㠲慡㄰㌰ㄸ㌵戳愹挷扣〴晣ㄵ捤㐱〲㠶挰㍥慡敢搰愹㜵攸㘷㈳㘰㐷ㄸ〱摢㕤㐵攰㍥攰㝡㜸ㄲ〲㐶㜳挸昷㠵ㄲ㌰ㄶ㙡㍤㡥㘲㍣㐷户㤷㠰㠹㑥㔵㙤㠰愳㉣挲㤹㐴愳挹㄰敡ち㔴㠵㠰㈹愸㤹㑤摤攱㈵攰㜲㌴〷〹挸㠷㝤㔴搷愱㔳ㅢ搱捦㐶挰つ㘱〴㙣㜶ㄵ㠱㥢㤲㔷挳㤳㄰㌰㠷㐳扥㉥㤴㠰扦㐰慤ぢ㈸收㜱㜴㝢〹㤸敦㔴搵㌵㜰㤴㠵户㉥愴㔱ㄱ㠴摡㠴慡㄰㤰㐰捤㙣敡㜲㉦〱搷愲㌹㐸㐰〹散愳扡づ㥤扡づ晤㙣〴㕣ㄴ㐶挰㠵慥㈲㜰㐳昴〶㜸ㄲ〲㉡㌹攴㌵愱〴㔴㐳慤㙢㈸㤶㜲㜴㝢〹㔸敥㔴ㄵ敦㤲㘶ㄱ捥ちㅡ㥤〰愱㙥㐶㔵〸㌸ㄱ㌵戳愹㤵㕥〲㙥㐲㜳㤰㠰㔳㘱ㅦ搵㜵攸搴ㄶ昴戳ㄱ㜰㐲ㄸ〱㉢㕣㐵攰挶散慤昰㈴〴㥣挳㈱㉦ぢ㈵攰㍣愸昵昹ㄴ慢㌹扡扤〴㕣攰㔴搵㙤㜰㤴㐵㌸ㄷ搲攸㈲〸㜵〷慡㐲挰挵愸㤹㑤㤵㝢〹戸ㅤ捤㐱〲搶挱㍥慡敢搰愹扦愱㥦㡤㠰愲㌰〲ち㕤㐵攰㉥昱㕤昰㈴〴㕣挵㈱挷㐳〹戸〶㙡㝤㉤挵㈶㡥㙥㉦〱搷㍢㔵戵つ㡥戲〸㘷㌳㡤㙥㠰㔰昷愰㉡〴摣㠸㥡搹搴戱㕥〲敥㐶㜳㤰㠰㕢㘰ㅦ搵㜵攸搴扤攸㘷㈳㘰㜲ㄸ〱㤳㕣㐵攰愶昴㜶㜸ㄲ〲敥攲㤰㈷㠴ㄲ㜰㌷搴晡ㅥ㡡㝢㌹扡扤〴摣敦㔴搵づ㌸捡㈲㥣敤㌴摡〱愱ㅥ㐴㔵〸㜸〰㌵戳愹ㄱ㕥〲ㅥ㐰㜳㤰㠰㠷㘰ㅦ搵㜵攸搴㍦搰捦㐶挰愰㌰〲〶扡㡡挰㝤昰㥤昰㈴〴㍣挹㈱昷て㈵㘰ㄷ搴晡㘹㡡㘷㈰㍣〴㍣攷㔴搵挳㜰㤴㐵㌸晦愲搱昳㄰敡㔱㔴㠵㠰ㄷ㔰㌳㥢敡改㈵攰ㄱ㌴〷〹㜸ㄹ昶㔱㕤㠷㑥㍤㠶㝥㌶〲戲挲〸挸㜴ㄵ㠱晢昱㑦挰㤳㄰昰㌶㠷摣㌱㤴㠰㜷愱搶戵ㄴ敦㜱㜴㝢㘷挰〷㑥㔵㍤〹㐷㔹㠴昳㈱㡤㍥㠲㔰扢㔰ㄵ〲㍥㐶捤㙣慡慤㤷㠰愷搰ㅣ㈴攰㜳搸㐷㜵ㅤ㍡昵㌴晡搹〸㘸ㅥ㐶㐰㌳㔷㌱挱㤷ㄷ㤰晥ㅣ㍣㌵攲㝥㙥㌳づ戸㜸㘶㐹㘲ㄹ㙦㐰戵㉣㐶㝥昷挸㥡慡敡ち戹㕢搶愲㌸慦㘲㜲㐵㜵㕥㐹搵㤲搲昸㡡㝤㡢摤挲㌱ぢㄳ攵戸㤷㕤㠹㕢摡扥戶㡡㈵㑢ㄲ㐵扡㌸扦愲愶戲㌰㌱㉥敦扦攱㕥㌷昰㘱搷挹㙤敥㔴㠵敤摦扢㝤㥢㠲㥥㤸㈵搸㔲搲㥦㠷㐳晦㕤㌸挹㌲昷摣㌱㤷㘲っ㠶慤昶㌲㍡扤愴扡㌴搱慣㔸敥㔶㑢㌹愳ㄸ㉣㈲㐱愰愸㘹昱昴㠵戸㍢㤵搷愲㜸㑣㘵㐹㔱㘹㐹㜹㠲㍢愳㡤㘳㍡㌱戱〰挹〰㐷㔷㔴㤵㌰〹扢㐵昱昴捡㜸㜹搵ㄲ摥搷㉣㕣戱㑦㔲㑤㙥㠰愶ㄷ㡦㈸㈹慦㐲ㄸ搹㡢㉣户㉡捥㕦㔸戱っ扦㉤愹㈹㉢ㅦㄳ㕦㔲昵㕦戱㔷ㄴ㜷㡢㙣戲㙢㔴慡㑡㑤㔵ㄹ愹ㄹ晦敥晥㠹晣㠰㌵戶慦㤳ㄸ搵〹昳戴扡戲㘴㝥つ〹㤳ㄸ㝤㈰搳㈸㘴ㅦ愶愴扦㠰㤲晦づ愶㘷ㄷ晡搲て㌸搶愴摦㑣㔸敦㠴敦昹挱㑥〷㤸敢ㅦ㌱㥣收㍦㐱㡣ㅦ㌳㘳摣摥挴㥣晦搳慦㕦搲㕦㠴攷〶攷㐱散〷攳㤶捥ㄴ㘲㙥〴㘷ㄴ㔶㈶㘶〲㙢晥㘹ㄹ㉤ㄶㅢ捥搰㤶㝢㡢愳㜱㉢扤㜹昱挴昸晣㐴㈹㌲〰捡攲搵㉤㥤ち㔳㌱昰敢㠸㉡㔷㌷戲愲慣㉣捥㈹挷摦㜸攴ㄷ挶㑢ㄳㄹ挵挳㙢慡㉢㈶㤵㤴敢㘲〸㤹㤷㙥㔳㝣㌹㥡攲换㥤㝢昵挵搳㤸ㄹ㈴㘵晡慡㔸㄰慦㉣愹㕥㔸㔶㔲㤸挱ち戳㜷晥㉢收㉡㡥ㅦ㘹㈰搳㙣收㔸攲扦昹敦摣㠲挷敥敥㠵㝣ㄹ㔲挷摤㡦ㄹ㥤慡㈲昸愷晥捤挴ㄱㅣ㜹攴〳㐵晦〲㙦改㜸换愱㐸挶昲㤵摣㡡㐵昱慢㔳㌱㐵攵攰愴㕥愲〱摥晡㔷㤸戲挰㜷摡换㄰㜵㘶ㄵ㌴㠵㐱㜴㘲㐵扣㘸㜴扣㄰扦搷㙡敡晥㕡㉢〳扢㤶㠷㥡捡ㄸ昳㍣㐶㈲㜵〸㈹㐹㑢㑢㡡ㄲ㤵ㄹ㙣挸挷慦搱搲㤸㈱ㄲ㜱昶㈱敥㜸㌷㐹㐹㑦㙦㤶㘱㡢㌵捥昸敡散摥㍤昷晥摡㙤㕣挰晦㘷㔳〷昱㈶ㅡ㘰㌵㠱搴扦〱㡥晥㥤㤸㕥㐱㤵㜸㝣〶㝦搰攰㑦㠸昴㔷愱昴敦㥢攴㤴ぢ㈴㘶㘸ㄸ愵挹敦㥣㤸っ㤲㠱挴〹挹㈲㐹ㄷ㈰捤㍣搹ㅦㄱ㈷昱㈳挳晣㜸㉡㤲㡦㔹㥥㈸㡡㍡挷㔷㘶㤹攰㤳㈱㈵㌵㌵つ扢㍡攲捦㥣ぢ㠴㠵戳戲晣㠴愴㠵愸㠳㌱㠴〸㤳〷戳戹㔸攰扦㈰昴㘷㐳㍢敦改㌴㌰㜰㕡ㄱ㡤敡㔴㜲ㄳ㔵㙦㐲ㅡ㑡昸㠱ㅥ㡤㜲㝦㙡散っ㕣ㄱ㠳㔰ㅦ愰捡ㄳ〳捦挷㤸晡〸㔵㝥㤴愵㐴昸挳戲㠶ㅥ㍡搵挷攸挱挳愷㡥搰昱㈷㈸昱愸戴㘷㤶㘶愰戵晥㔹晡ㄹ㝢攰慤昹㍢㐵㌳㑢搵攷㘸㌱㌰㔰㌴扢㥥ㄳ㐰㌷愳攱ㄷ㜶㠳收㌴㘸㐱㠳㉦㘱挰摤ㅦ㘹㠹摡㘰㐳慢昹扤换愸攵㑢㈴て捦昳昳㈲㄰㡢㥦㘴攵㜶㤲摤摥㘹ㄲ㤲㡣㑡㤶㤴㈶㙣㔴挷攰ㄱ㔴㝦敢ㄹ㐲ぢ戶㌸㔴户收㄰昶攱㄰㝥㐳愳㥦敡㍦搰收㔰扤㉦㑣ㅡ㑣昵㥦攸㈶㔴户愱㘳昲㤴㐴㜵㕢戴搶㑦㜵㉡扡〹搵晢㡢ㄳ愷愲㤸敡㘰愱晡〰搸攸〳㘹挸㌴〸㡢挱㐱㌴㘸㐷〳㘶㐶〸搵敤㔱㍢挴㔰㡤ㄹ㙣㘷㌹㌷搷㐶敡挱攸ぢ㔲㤹㌵㘱㠲㜱㘱扡愴㜶㘴戰㑥っ挶っ〷㍦愹㑣㙢㜰㐸捤㠴㐹㠳㐹㘵㈲㠴㤰㥡㐵挷捣㠸㐸㈲戵㌳㕡敢㈷㤵㤹ㄳ㜸攱㔷㝣㜴㠲㠲扣㤹㍥㘱㘰愰捤捣摦㐳㘱愳扢搰㤰愹ㄵㄶ㠳慥㌴攸㐶〳㘶㕢〸愹摤㔱敢㘲㐸慤㝢晥㕡てっ㍤搱ㅦ挴㜶昴〴昴捣搶挳ㄸ戰ㄷ〳㌲㜳挲㑦㉣搳㈵ㅣ㘲㝢挳愴挱挴㌲挱㐲㠸捤愱㘳㘶㕡㈴ㄱ摢〷慤昵ㄳ换㡣っ扣㜰㠹㤶㑥㔰㤰㌷搳㌲㉣扣昵㠳㡤敥㑦㐳愶㙣㔸っ〶搰㘰㈰つ㤸挵㈱挴づ㐲㉤换㄰ㅢ㍡㕢〷摢㈶敢攱攸ち㑥㤹攰㘱㘲㜹㈶敢ㄱ㡣㜵㈴㘳㌱ㄹ挳捦改㌰戴㌹㥣づ㠱㐹㠳㌹ㅤ㡥㙥挲改㔱㜴㍣〲戵㈴㑥㠷愱戵㝥㑥㤹攴㠱ㄷ㌲㐰攸挴㜰捡㑣て〳〳㙤㘶戲㡥㠰㡤ㅥ㐹㐳㘶㠱㔸っ昲㘸㌰㡡〶㑣っㄱ㑥㐷愳搶摤㜰㙡㈶慢晤挷㠵㌸摥㕡戹ㅤぢㄷ攰㤶戹㈳㈶愶㠷摢㜱㡣㌹㥥㌱㤹攷攱攷㤶挹ㅤづ户ㄳ㘰搲㘰㙥㤹づ㈲摣㑥愴㘳收㠵㈴㜱㍢ㄹ慤昵㜳换晣ㄱ扣昰㤳㐵㍡㐱㐱摥㑣㈲㌱㌰搰㘶戸㍤ㅡ㌶㝡㉡つ㤹㘰㘲㌱㤸㐶㠳㝣ㅡ㌰攷㐴戸㥤㡥㕡㔷㍦户㈱㠷搸ㅣ摢慣㥤〹〷㘰㌶敥㠹攸㌹ㄲㅣ挳㠸挷㌲㈲ㄳ㐸晣捣㌲㙢挴㘱㜶ㄶ㑣ㅡ捣㉣昳㑣㠴搹搹㜴捣㠴㤳㈴㘶攷愰戵㝥㘶㤹㤸㠲ㄷ㝥昹㐸㈷㈸挸㥢搹㈹ㄶ攲晥〲ㅢ㕤㐰㐳㘶慥㔸っ收搱㈰㑥〳㈶戳〸戳昳㔱㍢搴㌰㕢搷㤹㔷慥㤵搷㈲㜴〷慦捣㜵㌱昱㍣愷㕥〹挶㉢㘶扣搳㘰攰攷昵っ戴㌹扣㉥㠰㐹㠳㜹㘵晡㡡昰扡㤰㡥㤹挷㤲挴敢㈲戴搶捦㉢昳㕤昰挲㡦㉣改挴昰捡愴ㄷ〳〳㙤㘶挶㤶挲㐶㤷搱㤰〹㌱ㄶ㠳㜲ㅡ㔴搰㠰㌹㌲挲敢ㄲ搴ㅡ㝥㌴戰㝥㝡㔵挲〵戸㘵ㅡ㡤㠹改㌹ㅡ㔴㌱㈶ㅦ㡢愱㤸昲攲攷㤶㜹㉥づ户㌵㌰㘹㌰户捣㡣ㄱ㙥㤷搲㌱㔳㘴㤲戸㕤㡥搶晡戹㘵㉡つ㕥戸㜱㐲㈷㈸挸㥢昹㌴〶〶摡っ户㈷挰㐶㥦㐸㐳收摡㔸っ㑥愲挱挹㌴戸ㅡ〶挲敤㈹愸㌵晣戴戶㕦〳㑥㙢㑦㠳㐷㔰捤㠴ㅤ㌳〴捦攱攱㜴づ攱っづ㠱挹㌵㝥慡㤹㔱攳㔰㝤㈶㑣ㅡ㑣㌵㜳㜰㠴敡㤵㜴捣㘴㥣㈴慡捦㐲㙢晤㔴㌳㘹〷㉦晣㔰㤴㑥㔰㤰㌷㌳㜷っっ戴ㄹ慡捦㠱㡤㍥㤷㠶捣敡戱ㄸ㥣㐷㠳昳㘹挰㐴ㅦ愱㝡㌵㙡昵㥦㈸昴戳ㅤ㜲㉦㐰㔷㜰捡ㅣ㈰ㄳ㙢ㅦㄹ㑣㙢㐸㝤㈱㘳㕤挴㔸捣搷昱㜳捡㈴ㅤ㠷搳㡢㘱搲㘰㑥㤹搶㈳㥣慥愵㘳收昷㈴㜱㝡〹㕡敢攷㤴㜹㐰㜸攱㈷愷㜴㠲㠲扣㤹っ㘴㘰愰捤㜰㝡㈹㙣昴㘵㌴㘴愲㤰挵㘰㍤つ㌶搰㠰戹㐳挲改攵愸㌵昴挳捣晡㝤㘱㈳ㅣ㠰㔹㈶ㄷ㤹㠸㥥搹㝡㈵㈳㕥挵㠸㑣〴昲㌳换散ㅦ㠷搹慢㘱搲㘰㘶㤹㉦㈴捣㕥㐳挷㑣ㅣ㑡㘲㜶ㄳ㕡敢㘷㤶〹㐶㜸攱㌷慤㜴㠲㠲扣摦㠲㌴㌰搰㘶㤸扤ㅥ㌶㝡㌳つ摦戶ㅢ摣㐰㠳ㅢ㘹昰づっ㠴搹㥢㔰㙢搰㘵㠴晥戶〹扢〵扤㐱㉢㔳㤶捣㜸㍣㥦㘵户㌰摣㔶㠶㘳㝡㤱㥦㔶收ㄴ㌹戴摥ち㤳〶搳捡㉣㈴愱昵㌶㍡㘶㍡㔲ㄲ慤㜷愰戵㝥㕡㤹戶㠴ㄷ㝥㍤㑢㈷㈸挸㥢戹㑢〶〶摡っ慤㜷挲㐶晦㥤㠶捣㙢戲ㄸ摣㐵㠳㙤㌴㘰慡㤳搰㝡㌷㙡つ晣ㅡ搶挷㐶散扤攸て㘲㤹ち㘵〲㝡㡥〴昷㌱攰晤っ㤸㠶敢㔶㝥㘲㤹慢攴㄰扢ㅤ㈶つ㈶㤶搹㑤㐲散づ㍡㘶㥡㔳ㄲ戱て愲戵㝥㘲㤹づ㠵㌱攳㘷户㜴㠲㠲扣㤹ㄳ㘵㘰愰捤㄰晢㍦戰搱て搱㤰昹㔲ㄶ㠳㥤㌴㜸㤸〶㑣愱ㄲ㘲ㅦ㐱慤晥愳慢昵攴攰㌱㜴〵愷捣慥㌲戱㍣㈷〷晦㘴慣挷ㄹ㡢㤹㔰㝥㑥㤹晥攴㜰晡〴㑣ㅡ捣㈹ㄳ愶㠴搳㈷改㤸㤹㔳㐹㥣敥㐲㙢晤㥣㌲挳㑡㌸㝤㥡㑥っ愷㤹㘸㌵㌰㍣㥣㍥〳ㅢ晤㉣つ㤹㠲㘵㌱㜸㡥〶晦愲〱戳戲㠴搳攷㔱敢㘱㑥㘸敢晤ㅡ㘶㍦慢㝤ㄱ㍥㐰㉥㌳户㑣㔰て戹扢ㄹ昴㈵〶㘵㤶㤵㥦㕣愶㔶㌹攴扥っ㤳〶㤳换㘴㉣㈱昷ㄵ㍡㘶㔶㔶ㄲ戹慦愱戵㝥㜲㤹扤㈵攴扥㑥㈷㠶㕣愶㜰ㄹㄸㅥ㜲摦㠰㡤㝥㤳㠶㠳散〶晦㑢㠳户㘸挰㡣㉦㈱昷㙤搴ㅡ㝥㔶㙢㍤ㄸ扣ぢㄷ攰㤶㐹㘱㘶㔰ㅥ㙥㙢ㄹ昳㍤挶㘴〲㤷㥦㕢㘶㙤㌹摣扥て㤳〶㜳换㍣㉦攱昶〳㍡㘶挲㔷ㄲ户ㅦ愱戵㝥㙥㤹ㄸ㈶摣㝥㑣㈷㠶㕢㘶㠷ㄹㄸㅥ㙥㍦㠱㡤晥㤴㠶捣ㅣ戳ㄸ㝣㐶㠳捦㘹挰㘴㌲攱昶ぢ搴晡㤹㠹ㅢ㝡㑤〶搷㘹ㅢ㜲㐲晢ㄵ㥣㠱㘵㘶㥥㤹攸ㅥ㤶扦㘶昴㙦ㄸ㥤㔹㘲㝥㤶㤹ㅡ收戰晣㉤㑣ㅡ捣㌲㤳挹㠴攵敦攸㜸ㅥ㙡㐹㉣晦㠰搶晡㔹㘶昶㤹戰晣㈳㥤ㄸ㤶㤹㠲㘶㘰㜸㔸晥〹㌶晡㘷ㅡㄶ搹つ㝥愱挱慦㌴㐸挰㐰㔸晥つ戵㠶捦㘰敢㜹挲ㅦ㜰〱㙥㤹搴㘶〶攵攱昶㑦挶㑣挱㥤㌲挵〴㌴㍦户捣㍡㜳戸攵捤戴〶㜳换㍣㌵攱ㄶ㌷㔸㔲ㄴㄳ搶㤲戸挵㙦搸ㅢ挰敤㜲㜴ㄳ㙥搳改挴㜰换散㌶〳挳挳㙤〴㌶扡㈹つ㤹昹㘶㌱挸愰〱㥦慤愸㤸っ㈷摣㐶㔱㙢攰㜹㠲昵ㅢ㐳㜳昴〷戱㑣㤶㌳〱て㘲㑢㔴扥㌱戴㘰挰㤶っ挸挴㌶㍦戱捣㘶㜳㠸㙤〵㤳〶ㄳ换晣㌷㈱㌶㐶挷㑣㠴㑢㈲㜶ㅦ戴搶㍦㘹㤹㌰㈷挴敥㑢㈷㠶㔸㘶捤ㄹㄸㅥ㘲摢挰㐶敦㐷㐳㘶搴㔹っ摡搲㘰㝦ㅡ㌰挹㑥㠸㍤〰戵〶摣㕣戰㕥愱㌹〸㝤㐱㉡ㄳ昰㑣㌰捦㙣㙤挷㘰敤ㄹ㡣挹㜲㝥㔲慦㐱㥢㐳㙡〷㤸㌴㤸搴㙢搱㑤㐸㍤㤸㡥㤹㕣㤷㐴㙡㈷戴搶㑦㉡㤳昰㠴搴㑣㍡㌱愴㙥㐶慢㠱攱㈱㌵ぢ㌶晡㄰ㅡ㌲㑢捦㘲搰㤹〶搹㌴㘰攲㥥㤰㝡㈸㙡㐷㥡攳㙤扤㈷ちつ扣㍦搶ㄵ㑥挱㌶戳晤捣㈸㍣㙣㜷攳㈸扡㜳ㄴ捣捣昳戳捤㜴㍣㠷敤ㅥ㌰㘹㌰摢㑣攰ㄳ戶㝢搲昱扤愸㈵戱摤ぢ慤昵戳捤㡣㍦㘱扢㌷㥤ㄸ戶㤹昶㘷㘰㜸搸捥㠱㡤捥愵㈱㔳〲㉤〶㝤㘸搰㤷〶捣ㄲㄴ戶晢愱搶愰慦㘶搶ぢ攳〳搰ㅢ戴㍥攴〹攷昹㙡㌶㤰攱〶㌱ㅣ昳晤晣戴㌲挹捦愱㜵㌰㑣ㅡ㑣㉢搳〲㠵搶挳改㤸昹㠱㐹戴ㅥ㠹搶晡㘹㘵ㅥ愱搰㍡㠴㑥っ慤㑣㈶戴戰㜶ㄴ㙣昴㔰ㅡ㌲搱搰㘲㌰㡣〶挳㘹挰摣㐳愱㜵〴㙡つ㍣攴づ戲㝤㌵换㐳㝦㄰换摣㐴ㄳ搰㜳㈹㘱ㄴ〳㡥㘶挰户㘱攰㈷㤶挹㠳づ戱㘳㘰搲㘰㘲㤹㙥㈸挴㡥愵㘳收ㅤ㈶ㄱ㍢ㅥ慤昵ㄳ换晣㐴㈱㜶〲㥤ㄸ㘲㤹愴㘸㘰愰捤㝣㌵㥢〸ㅢ㍤㠹㠶㑣㘰戴ㄸ㑣愶挱ㄴㅡ㌰愷㔱㠸㍤ㅡ戵〶ㄲ㙢㥤戱搳搰ㅦ挴㌲攷搱〴昴㄰㥢捦㠰搳ㄹ㤰ㄹ㔲〲㘴〶㙢㉥㤰㜴㘶戹昸㤳㌷〲㠹㌵ㄲ愱㤸㈹㌶昹搵㉢㜰扢㕥㡡㑣收㜰㑡㑣㑢㠹㑡ㅢ㔲㑣㉡㉡㜱㉢㍢捤晦搰㤵㍤㝤㥦㐵攰㘶㙤㝣て戴㤱㙥搴㌰㠳㈷㝤换慦挱㠷戶散改捦㠱敦㝤扡〵晢㜰㡢ㅣ㠳㈱戶㤹㔴㔲㔸㔹㔱㔵㔱㕣摤㈹ㅦ㈹㝢㥤昸㠰愰攲㤴㤴㥣攱改㌷挱愳㌵㈶㠱愵㤵昳搱扡㑢昹挰㡣攸攲昲㡡㘵攵㌲㥡昴㉡㍥㈷㐹昸㙡摡㤴㘱愲㡣挳敤㄰㤰ㄷ㘳戶て㍢敢㔹㤰㉤㥡挴㤸㉥挳㉤挶㤴ㄹ㈹㌰㍦㐶ち捣㤱攱㤶㥥㡡昳戵㠶㈶慣搰户㥡慦ち㔵㤱㑡愴㌵㙤慡戲㝤㑦攳〹㈴扡散㜹㥣㐹㈴挲㍣㤷昴ㅢ〰戹㘱㥤㤲ㄹ㘵㘷㥥㜵敡攳㌰〴㍤〷㈲ㅡ㙢㠲〶づ㈸㌲ㄷ㜲㥦㤱㈳ち昰㤸つ昳攰つ捥㠲挸㕦搰摥ㅣ敤㤲搵㠱挷ㅦ㔷㐵ち搰搲ㄲ㉤㥥捣扥挸㍣戴戵㐶㕢昲㈳㡥㘳㘹慥㜷㕤换戰㔹ㄴ㤹ㄴ㐵㌰㔷ㄱ㈸㘵㈷㈴㔸㐳㌳敡戸捡〲挹㠹慢㉥〷㑡㑥ㄷ㌴愶㐴ㄶ挰㈴㜴づ愸昵㌰攳㍣㐸摥㡦ㅡ㥥搰㉤㐵㤷㐰㘲㍦㐶改ㅦ㕢慣㤹㈹㌴㌷㠵ㄶ㙥㐱挵㔰攰扥㔴㤷挲ㅤ㜹愶㐲㉦㠶〳㕤ちㄱ㡤戵㐶〳㥤㐶捡㈰㙤㝣㤵愳㍤㤹慦ち戴昸昹㕡㠲㌶ぢ㕦晢戸摥ㅤ扥扡㌱㜶㔷㡡㙡㤸慢㌶ㅣㄷ㙢㌵慣愱㈰敦戶㘸ㄵ扥捥挳㘸つ㕦㥡㝣㜱㜹愸㜳搰ㅡ愴㘶㝦ㄳ㘷〵散㐰捤〱愸㜳㡢ㅤ㘸ち〷㤹㐲㍢户愰づ㐶㐱愸㌹换㑢捤㠹㜰愰㑦㠲㠸挶㍡挲㠰㘱㌵愹搱攴㐱ㄳ扡㈶搶㔸㈷愳慣愵㐵づ㐵㙦㡡㤵㔰慡㉣㈸〵搹㉡搶搰㉣敦捥㘸ㄵ㘴㈷㔸㤱㉤户㈲换㌶㜱捥㠵㉢㈰㍢ㄴ㜵㙥戱㉥愶搰搵ㄴ扡戹〵搵ㄳ〵㐱戶搴㡢散㝣㌸搰慢㈱愲戱挳㘰㠰㠲ㅤ㔹㉦愳慣愵挵㐰㡡〱ㄴ㤷愰㠷捡㠱㔲㤰慤㘳つ捤昲敥㠳㔶㐱戶挸㡡㙣愱ㄵ㔹㕦ㄳ㘷〳㕣〱㔹㍦搴戹挵晡㥢挲〰㔳ㄸ攸ㄶ搴攱㈸〸戲㘲㉦戲㉢攰㐰㙦㠴㠸挶㡥㠰〱ち㜶㘴㐷ㅡ㘵㉤㉤㡥愲ㄸ㐲㜱㍤㝡愸愳愰ㄴ㘴㥢㔹㐳戳扣㠷愱㔵㤰捤昶㈲攳ㄱ㕣㘶攳戱㔶㘴挳㑤㥣㥢㘱〷㘴㈳㔰攷ㄶㅢ㘹ち㜹愶㌰捡㉤愸戱㈸〸戲㤹㕥㘴户挰㠱摥ちㄱ㡤㡤㠳〱挳㙡ㅥ搸㌴㡦㘲㥡〷㉥㍤て㈲㌶摥㈸㙢㘹㌱㡡㈲㡦攲㉥㈸搵㐴㈸〵搹㌶搶搰㉣敦挹㘸ㄵ㘴攳扤挸昶慣戳戱㔶㘴捣㘴㠰㤳ㄴ㝤ㅦ㈴㤰ㅤ㡤㍡户搸㔴㔳㤸㘶ち昹㙥㐱捤㐴㐱㤰㡤昶㈲摢づ〷㝡〷㐴㌴㜶っっ挴愹㙤㥤ㅤ㙢㤴戵〸㈳㡦㠸搶ㄳ㔸㝡〴㍤搴㙣㈸〵搹愳慣愱㔹摥㜳搰㉡挸づ昷㈲摢戳捦〶㔹㤱㌱㤳㐰〶昱〴㈴㤰晤〵㜵㙥戱〲㔳㤸㘷ち㜱户愰㡡㔰㄰㘴〳扣挸㥥㠲〳扤ぢ㈲ㅡ㑢挰㐰㥣摡昶㔹戱㔱搶㈲㡣㍣㜵㕡㑦㘳改㐵昴㔰ぢ愱ㄴ㘴扢㔹㐳戳扣ㄷ愱㔵㤰㜵户㈲敢㙡㐵戶搸挴㜹ㄵ慥㠰慣ㄴ㜵㙥戱㌲㔳㈸㌷〵摥慣攷愶㉡㔱㄰㘴㠷㝡㤱扤づ〷晡つ㠸㘸慣ち〶㈸搸㘷㘳戵㔱搶搲㠲て捦搰戳㈸摥㐳て戵ㄴ㑡㐱昶㍥㙢㘸㤶昷㜲戴ち戲㠳扣挸昶捣挶〳慣挸㔶㤸㌸ㅦ挳ㄵ㤰㥤㠰㍡户搸㠹愶㜰㤲㈹昰㔶㌹㌷㜵ㅡち㠲慣慤ㄷ搹愷㜰愰㍦㠳㠸挶㑥㠷〱ち昶㈳挸ㄹ㐶㔹㑢㡢㌸挵㍣㡡敦搰㐳慤㠴㔲㤰㝤捦ㅡ㥡㔱挷㑦挴㈱〵㔹搴㡢㙣捦㙣捣戰㈲攳㡤㙢ㄹ挴捦㤰㐰㜶づ㕤㘱㡢㥤㙢ち攷㤹挲昹㙥㐱㕤㠰㠲㈰㡢㜸㤱晤ち〷晡㌷㠸㘸㡣㌷㤷挵愹捣挶㜹㔴散㌹㡣挴㉥㌲捡㕡㠴搱愹改㄰ぢ㔹㕡〰愱搶㐲㈹挸搲搱捥㠲扣㉦㐱慢㈰晢攵ㄷ摢㈷昵㑦㘸扤〹㐳㐹㍥㠹攱敤㘳ㄹ〴晦敦ㄱ㈰扢ㄴ㜵㙥戱换㑣㘱扤㈹㙣㜰ぢ㙡㈳ち㠲散〷戸扣〱㉥愹搰捤㌸挶收㄰搱ㄸ㙦敥㡡㔳摢ㄱ攴㉡愳慣㘵慦ちち晥昰㐳户㈱㤶㙢愰ㄴ㘴晢戱㠶㘶㜹㙦㐲慢㈰晢挴㡢㙣捦㍥晢挸㡡散㍡ㄳ攷㐰戸〲戲敢㔱攷ㄶ摢㙣ち㌷㤸〲敦捦㜲㔳㕢㔰㄰㘴ㅦ㜸㤱戵㠳〳摤ㅥ㈲ㅡ扢〵〶㝢昷搹㥥摤攵ㅣ昵户ㅡ㘵㉤㝣挹攳挳㌵ㅦ㜷愱㍢ㄳ换㙤㔰ち戲㙣搶搰㡣㍡㌲㉡㈰〵搹㙢㕥㘴㝢搶搹㉢㔶㘴㝦㐳㈷ㄹ㐴㌷戸〲戲㍢改ち㕢散敦愶㜰㤷㈹昰ㄶ㈹㌷㜵㉦ち㠲散㈵㉦戲ㅥ㜰愰㝢㐲㐴㘳昷挱㘰敦㍥攳㌹搵摥㔳慣搸晤㐶㔹ぢ㕦扡て㝢㥤捣ㄲㅦ㘶愱㜶㐰㈹挸晡愳㕤昶ㄷ㕢ㅦ㐴慢㈰㝢搲㡢㙣捦㍥㝢摣㡡散ㅦ㈶捥㘰戸〲戲晦㐱㥤㕢散㈱㔳搸㘹ちて扢〵昵ㄸち㠲散㌱㉦戲㈳㌸挶㈳㈱愲㌱摥㘶っ摤㘷㡦ㅢ㘵㉤挲攸㤵ㄴ㘷㔲攴ㄱ换㤳㔰ち戲㔱慣愱㔹摥扢搰㉡挸敥户㈲扢搷㡡散㘹㜴㤲㐱㡣㠳㉢㈰㝢〶㜵㙥㌱摥㌸㤴挲㜳愶昰㉦户愰㕥㐴㐱㤰摤敤㐵㌶〱づ昴㐴㠸㘸㡣昷昸㐲㤱扤㘴㤴戵㜰㉦て㔴搷攷戱㌴㥤㔸㕥㠱㔲㤰捤㘰つ捤愸愷愸搷㈰〵搹ㄶ㉢戲㥢慣挸㕥㐷㈷ㄹ挴㉣戸〲戲㌷攸ち㕢㡣㜷敤愴昰扦愶昰㤶㕢㔰敦愲㈰挸㙥昰㈲㍢づづ昴ㅣ㠸㘸慣ㄶ〶愱挸摥㌳捡㕡戸㤷愷戴㍢捦㙢㉦㈲㤶て愰ㄴ㘴〹搶㘰㈰敦㡦搰㉡挸㉥户㈲㕢㙦㐵昶戱㠹㔳〲㔷㐰昶〹敡摣㘲㥦㥡挲㘷愶昰戹㕢㔰㕦愱㈰挸㉥昵㈲㕢っ〷扡ㄴ㈲ㅡ晢ㅡ〶愱挸扥㌱捡㕡㠴㤱㐷扦㙢㍥㉢㐲㔷ㄳ换㜷㔰ち戲ㅡ搶搰㉣敦ㅦ搰㉡挸捥戳㈲㍢挷㡡散㐷ㄳ㘷〵㕣〱搹㑦愸㜳㡢晤㙣ち扦㤸挲慦㙥㐱晤㠱㠲㈰㍢换㡢散㐴㌸搰㈷㐱㐴㘳晣ㄸ〸㐵㐶㡤㈸㙢ㄱ㐶㕦㐳㜱㌵挵㑡㘲㤱晢㐵慣慤㘲つ〵挶攴㝦㔴攴㈰㍢挱㡢㙣捦戱㜱戹ㄵ㔹扡㠹㜳㉥㕣〱ㄹ敦㄰㜱㡢㌵㌵〵摥ㄲ㤲ㄶ敤ㄶ㔴㜳ㄴ〴搹㔲㉦戲昳攱㐰慦㠶㠸挶㕡挰㠰挶捥㌷㑦摦戱戱愵㔱ち戲戵散挵㠷㌲㘸㍥攲㐱挵愰㤴㝤戶づ敤㝢昶ㄹ㙦搸挸㍥㕢㘴㐵戶搰㡡㡣户㙤昰挲戴㠰㉢㈰㙢挳ち戶搸㝥愶挰㝢㌲搲戲扦㕢㔰扣慤㈲挸㡡扤挸慥攰ㄸ㌷㐲㐴㘳敤㘰㐰㘳敢㜷敡昶㐶㈹挸昸愰〵㝤㉢挵昵挴㜲㌰㤴㠲㙣㌳㙢㘸㤶㝤搶〹慤㠲㙣戶ㄷ搹㥥愳晥戱㔶㘴扣㜷㠲㔷㡡扥ㄹ慥㠰㡣昷㐹戸挵㜸慦㐴ち㥤㑤㈱摢㉤㈸摥挲㄰㘴㌳扤挸㙥㠱〳扤ㄵ㈲ㅡ敢〶〳ㅡ㕢扦㥦昱敥㠶㈸〵ㄹ㥦愰攰㍣㜹晦㉥㘲改〹㡤㈰摢挶ㅡ㜴昲敥㠵㔶㐱㌶摥㡡㙣慣ㄵㄹ敦㔳㐸㥣晢攰ち挸㜲㔸挱ㄶ攳㝤〹㈹昰㈶㠴ㄴ㜸㈳㠲㥢攲㕤〴㐱㌶摡㡢㙣㍢ㅣ攸ㅤ㄰搱搸㐰ㄸ搰搸㡡㡣㌷ㄸ㐴㈹挸昸㘸〴捤〷㉤攸㐷㠸㐵㙥ㄲ戰昶㈸㙢㈸挸晢㐸搸ぢ戲挳扤挸昶慣戳㐱㔶㘴㐳㑣㥣㈷攰ち挸㡥㘲㔰㙣㌱摥ㅡ㤰挲㌰㔳攰扤〰㙥㉡て〵㐱㌶挰㡢散㈹㌸搰扢㈰愲戱㔱㌰愰戱㜵㌶昲ち扦㈸〵搹挳㌴摢㐹昱㈲戱挸㔵㝡搶㜶戳㠶㠲扣㜹㤵㕥㤰㜵户㈲敢㙡㐵㌶挱挴㜹ㄵ慥㠰㙣㈲㠳㘲㡢㑤㌲㠵挹愶挰㡢昱摣ㄴ慦愳ぢ戲㐳扤挸㕥㠷〳晤〶㐴㌴挶㑢改㌴戶㈲㥢㙥㤴㠲散㐹㥡㍤㐱昱ㅥ扡挶㘶ㄸ攵晢㌲㥣昴㔹愸ㅦ攱扢愲㙢晦㌹㜴て晦愳改㐷攱㔱昳扣㤱㥥搲〴扦〳㜵㝥㍤㤹㤶㝡昸扦攷㡢搷㡣昹攳㘹扥搳て〲敡晦㠳ㅦ敥慢扤搷攵改戱㈳摥晡㐳〰㙥㜵ㅣ攰攲㉦㝥㝣㤹戴㝤㌵搴慤づ㜳晥㘶戸㝦㘳挳㕡捤㌱㍤收慡捣戵挳搳摦㍥昵敡慦户ㅣ㤱㝤攵敤㝦扡㝦㑦摤㌴敡敥㙦㝦㝦昱愶愱慢㘶扦戰愳戶捤㥡愱慡〸㍤戲攱㐷扦㐳昱㉥〵昷㠴摡て戰㕥挳戳㡡〳て㝡㙥攳㉡晣て㝡㡥㈵攰〹㉦㈴捤挸捥㔲㈵愸㜰㠷愹㝤搰㠳㉣〹戰㉦〹㙣㌱㥡ㅢ〷慣搴昴〸〳㜶攷㤵㕦摥昸搸㠴ㅢ㠷昶㌸扢敤慢捦晣㜸收㔰㔵㡤ㅥ㌶㘰㉤摣昱〷㠰㌵㜷ㄵ晥〷㌸挷㙡攰〹慦ㄴ晤扤〳㙣〵㉡〲㉣敡〵昶㈳㠱㥤〸㔵攳㠰㥤㘴㝡㠴〱晢昸搰摣㡣慤敤㉦ㅦ摡慥昷㥢㥤㈳愷慦ㅡ慡㔶愲㠷つ㔸㝡ㄸ戰㌴㔷攱㝦㌰㜳㙣ㄵ㍣攱㠵摦㉢㍢挰捥㐵㐵㠰愵㝡㠱晤㐹㘰攷㐳搵㌸㘰慢㑤㡦㌰㘰て㝦摦㜵捥㠵㍢㌷て㥤㕤㜴挴㕢㔳搶㥣㍤㔴㕤㠲ㅥ㌶㘰扦晦ㅣ㌲ㄵ㝦㜳ㄵ晥〷㉥挷搶挱ㄳ㕥昸㍦㐵戱㜴㕡㌴㔱ㅢ㔰ㄱ㘰扦愰挷㥥愹搸ㄴ捡㔶㔷㐰搵㌸㘰ㅢ㑤㡦㌰㘰㠱㍤㜶㍤㝡搸㠰㝤ㅦ〶散㍢㔷攱㝦㤰㜲㙣㌳㍣攱㠵㕦ㄱ㍢挰㙥㐶㐵㠰㝤攳〵搶㡡挰㙥㠱慡㜱挰戶㥡ㅥ㘱挰㜶㔴晦昵㠰戴㤹てづ晤㙣敡扤〷慦晡昴攲愱敡㉥昴戰〱晢㍣っ搸㘷慥挲晦㠰攴搸㌶㜸挲ぢ㜹㌷づ戰晢㔰ㄱ㘰㥦㜸㠱敤㑦㘰摢愱㙡ㅣ戰ㅤ愶㐷ㄸ戰挰㔴㝣〴㍤㙣挰摥て〳昶㥥慢昰㍦昸㌸昶㈸㍣攱㠵㠷ㄹ㍡挰㥥㐰㐵㠰扤敢〵搶㤱挰㥥㠲慡㜱挰㜶㤹ㅥ㘱挰〲㠷晢ㄷ搱挳〶散捤㌰㘰㙦戸ち晦〳㡤㘳扢攱〹㉦攴散㌸挰㕥㐵㐵㠰扤收〵搶㠵挰㕥㠷慡㜱挰摥㌰㍤挲㠰〵愶攲㝢攸㘱〳戶㍢っ搸㡢慥挲晦愰攲搸晢昰㠴㔷㡡㍥捣〱昶㌱㉡〲散㜹㉦戰摥〴昶㈹㔴㡤〳昶㤹改ㄱ〶㉣㌰ㄵ扦㐳てㅢ戰愷挳㠰敤㜲ㄵ晥〷㄰挷扥㠷㈷扣昰㔳㘴〷搸捦愸〸戰㈷扤挰〶ㄲ搸慦㔰㌵づ搸㙦愶㐷ㄸ戰挰㔱㤱搷㜵㙤挰ㅥつ〳昶㠸慢昰㍦㔸㌸㤶づ㑦〲㙣㠸〳㑣愳㉥挰㜶㝡㠱つ㈵戰㘶㔰攱搵㠸㔳慡收愶㐷ㄸ戰挰ㅥ㙢㠳ㅥ搹攴搹㜷㑡昵㐰ㄸ戰ㅤ慥挲晦挰攰搸㝥昰㈴挰㐶㌹挰づ㐴㕤㠰摤敦〵㌶㠶挰摡㐱㠵㔷㈳㠰戵㌷㍤挲㠰〵づㅥ㥤搱㈳摢〲㙣㕢ㄸ戰扢㕣㠵晦㐱挰戱㙣㜸ㄲ㘰㤳ㅣ㘰摤㔰ㄷ㘰㜷㝡㠱㑤㈱戰ㅥ㔰攱搵〸㘰㍤㑤㡦㌰㘰搳昸昱㌵昵愶愱换㘵㑥㤶づ㔵扣愸㥢㙤〱㜶㙢ㄸ戰慤慥挲晦㠰摦㔸㝦㜸ㄲ㘰㌳ㅣ㘰㠳㔱ㄷ㘰㕢扣挰㡥㈱戰㈳愰挲慢ㄱ挰㡥㌴㍤挲㠰〵搶㔸ㅥ㝡㘴㕢㠰㙤づ〳㜶扤慢昰㍦戸㌷㌶ち㥥〴搸㕣〷搸㌸搴〵搸㈶㉦戰〲〲㥢〰ㄵ㕥㡤〰㌶搱昴〸〳ㄶ㌸摣㑦㐷㡦㙣ぢ戰㉢挳㠰㙤㜴ㄵ晥〷昲挶㘶挰㤳〰㑢㌸挰㘶愱㉥挰㉥昷〲㕢㐰㘰挷㐱㠵㔷㈳㠰捤㌱㍤挲㠰㍤扤㡢摢㡥愱㤷㙦攰㜶㉥扥㡦愱㐷戶〵搸扡㌰㘰㤷戸ち晦㠳㜶㘳〹㜸ㄲ㘰㘵づ戰ㄲ搴〵搸㕡㉦戰ち〲㕢っㄵ㕥㡤〰㔶㙡㝡㠴〱ぢ㑣挵㙡昴挸戶〰㕢ㄳ〶㙣戵慢昰㍦㐰㌷㔶〳㑦〲慣挶〱戶〲㜵〱㜶㥥ㄷ搸㌲〲㍢ㄱ㉡扣ㅡ〱散㈴搳㈳っ㔸㘰㉡慥㐴㡦㙣ぢ戰㔵㘱挰㔶扡ち晦㠳㜱㘳慢攰㐹㠰㥤散〰㍢ㄷ㜵〱㜶㠶ㄷ搸愹〴㜶㍥㔴㜸㌵〲搸㙡搳㈳っ㔸攰㜳㡣㤷㜳戳㉤挰㑥づ〳㜶㤲慢昰㍦昰㌶戶づ㥥〴搸㉡〷搸〶搴〵搸〹㕥㘰㘷ㄳ搸ㄵ㔰攱搵〸㘰ㅢ㑤㡦㌰㘰㠱愹㜸㍤㝡㘴㕢㠰搵㠴〱慢㜶ㄵ晥〷搹挶㌶挳㤳〰㕢攳〰扢ㄹ㜵〱㔶改〵㜶㈱㠱摤〲ㄵ㕥㡤〰戶搵昴〸〳㜶晣㤰攸换搷㉤㜹㘰㈸扥㤴戵㍣散㑥㕣捣戹ぢ㍤戲㉤挰捡挲㠰㤵扡ち晦〳㙡㘳摢攰㐹㠰慤㜳㠰摤㠷扡〰㕢攴〵㜶ㄹ㠱㙤㠷ち慦㐶〰摢㘱㝡㠴〱ぢ㥣㜹㍣㠲ㅥ搹ㄶ㘰㠹㌰㘰㐵慥挲晦攰搹搸愳昰㈴挰慥㜴㠰㍤㠱扡〰㥢敦〵㜶㌵㠱㍤〵ㄵ㕥㡤〰戶换昴〸〳ㄶ㔸㘳㉦愲㐷戶〵搸摣㌰㘰㜳㕣㠵晦㠱戲戱摤昰㈴挰㌶㍢挰㕥㐵㕤㠰捤昶〲扢㤱挰㕥㠷ち慦㐶〰㝢挳昴㘸㌰戰昷搰㈳摢〲㙣㐶ㄸ戰改慥㈲昰愰搸昷攱愹扥〷挵㝡晥慦搵㔶〸㥡㕥捣昴摡㘶挵㑥㌳㉦搷㈲捤扡愴戴㔴㌲㤴㥢攳戹㡥㤵昸摦㑥㈷攲昱愵㜸㥡㘳㝥㠹晢㍦攸㡤挳㘳㑤昹㤸㍣昳攴㐰㉤㌵㜶㡥ㄴ㑦愹挴愳〴㥢ㄶ㡦慢挲㘳㘷㡢㌲昰扦㌵㔶㔷㈷㉡换晦ㅢㅥ晡㠸㥣㜱晥㈸ㅢ㥢昳戸㐷㙢扡㌶昳戰敢㜸ㅥ攷㕥㍥捣㝦㘲㥡捡挷㐱晥㝢㑦愰㡤摣㡡㈹㘶㝥㙡㔰攴㜹挰㘹㥡㥡㠶㕤散㘴攱㥣㤶昲愷㡣㌹㈵ㄵ晦搵つ散攵挲戳摣户㠰㠸敡扦戱㘹㌷㉣㐴愴愴昳㙡戸ㅦㄸ㤳攷昹ぢ搴ㄴ摦㝦㐳摡慣ㄹ搱㥡㑤昱㘲㌴㘷㔰攴敦愱挳㥡㘸ㅤ搶戶攰戰敥㐹ㅥ㤶攲戵㙣づ捤㙣敡㝢ㄳ散扥搰㘰愳慤挱戶〷㠳㍤攰ぢ挶敢换㐹挱㜸搱㔶㤰晤㈳㌴搸㌰㙢戰㠷㠲挱ㅥ昶〵攳㌵摦愴㘰改㌰㤰㘰㡦㠶〶㍢摣ㅡ散㥦挱㘰㑦昸㠲㌵㐵㍤㈹㔸ぢ㌴㐸戰愷㔰戰㑦愵㝥搶㘰㑦搳㌳敦㘱散㥤㑡捦戲㘹敦㔴㔲慤㔰㑦ち戶ㅦㅡ㈴搸扦㔰戰〷敢㘵つ昶〲㍤㈷〷摢捤㈶㑦戰晤㔱㑦ち搶〱つㄲ散㘵ㄴ散挱扡㕡㠳扤㑡捦挹挱㕥㘷㤳㈷㔸㐷搴㤳㠲㘵愳㐱㠲扤㠹㠲㍤㔸㤶㌵搸㕢昴㥣ㅣ散ㅤ㌶㜹㠲㜵㐱㍤㈹搸㘱㘸㤰㘰戵㈸搸㠳戵户〶㝢㥦㥥㤳㠳㝤挸㈶㑦戰摥愸㈷〵敢㡦〶〹昶㌱ち昶㘰㙤慤挱㍥愵攷攴㘰㥦戳挹ㄳ㙣㈰敡㐹挱㠶愰㐱㠲㝤㠹㠲㍤㔸捣ㅡ散㙢㝡㑥づ昶㉤㥢㍣挱㠶愲㥥ㄴ㙣ㄴㅡ㈴搸昷㈸搸㠳㐵慤挱㝥愴攷攴㘰㍦戳挹ㄳ㙣っ敡㐹挱㈶愱㐱㠲晤㡡㠲㍤㔸㥡㌵搸敦昴㥣ㅣ散㑦㌶㜹㠲㑤㐱㍤㈹搸っ㌴㐸㌰㠵㘷扥摡㠳晤昱㤳敤昳愱〹散㝤挱搲搹攴〹㜶㡣㍦搸㕣ㄳ慣㘹㘸戰㥦慣挱㜴㌰㔸㌳㕦戰〲㝦戰㠴〹搶㈲㌴搸㌷搶㘰慤㠲挱㕡晢㠲㉤昰〷㉢㌳挱昶つつ昶㤹㌵搸㝥挱㘰晢晢㠲㔵昸㠳搵㤸㘰〷㠶〶晢挰ㅡ慣㕤㌰㔸〷㕦戰㘵晥㘰㈷㥢㘰ㅤ㐳㠳扤㙤つ㤶ㄹっ㜶㠸㉦搸愹晥㘰慢㑣戰散搰㘰慦㔹㠳㜵〹〶敢收ぢ㜶戶㍦搸ㅡㄳ慣㐷㘸戰ㄷ慤挱づぢ〶敢敤ぢ㜶愱㍦搸㍡ㄳ㉣㌷㌴搸㌳搶㘰㝤㠳挱晡晢㠲㕤收て㜶愵〹㌶㌰㌴搸攳搶㘰㠳㠳挱㡥昰〵扢摡ㅦ㙣戳〹㌶㈴㌴搸㑥㙢戰愱挱㘰挳㝤挱㙥昴〵㑢扦ㅤつつ㍥㘵㘶ㄲ挷扥昸㜲㔱㡡挷㌶攳㔱晥㝣㈰㝣㡦㔲㥣晡㌶攰昹晢㈳㌱㄰挵昳㕤晡搰㜹慣戹愷㉦㙡ㅢ㕡㌹っ㍤㡡慤昷ㄸ㥢搱㕥ㅢ㥥㌸㡡捤ㄸ戶㍥㘰㙣挶㝡㙤㜸扥㈷㌶攳搸捡㔳㍤㠹㌵摥㙢昳㑦㘳㌳㠱慤㍣㐳ㄳ㥢㠹㕥㥢愷㡤捤㈴戶㍥㙢㙣㈶㝢㙤㜸㔲㈴戱愶戰㜵户戱㌹摡㙢挳㜳ㄹ戱㤹捡㔶㥥挶㐸慣㘹㕥㥢户㡣㑤㍥㕢㜹昶㈱㌶搳扤㌶敦ㅢ㥢ㄹ㙣晤搰搸捣昴摡昰〳㕦㘲ㅤ挳搶捦㡤捤戱㕥ㅢ㝥㑥㡢捤㉣戶昲㈳㕡㘲捤昶摡晣㘸㙣㡥㘳㉢㍦㔹挵㘶㡥搷收㜷㘳㌳㤷慤㝦ㅡ㥢扦㜸㙤昸㘱㈶戱ち搸捡捦㌱昱㌳捦㙢挳捦㈰戱㠹戳㤵ㅦ㍦㘲㌳摦㙢挳㡦づ戱㈹㘴㉢㍦㌵挴愶挸㙢挳㈳扥搸㈴搸捡㠳扤搸ㄴ㝢㙤㜸愰ㄶ㥢〵㙣攵㌱㕡㙣ㄶ㝡㙤㜸㝣ㄵ㥢ㄲ戶昲搰㉡㌶㡢扣㌶㍣㉣㡡捤㘲戶昲㠸㈸㌶愵㕥ㅢㅥ捤挴愶㡣慤㍣㤰㠹㑤戹搷㠶〷㈱戱愹㘰㉢㡦㍦㘲戳挴㙢挳㘳㠷搸ㅣ捦㔶ㅥ㌶挴愶搲㙢挳㈵㉦㌶㔵㙣攵㙡ㄷ㥢㙡慦㡤㉣㍤慥扡ㅡ戴㥡㉤挶㈵㈸搷㔱㤶愲㠰摣ㄱ㔹㝣戴㕡收戵攲㈲ㄴ慢攵㡥㤵㉣扦㠰ㄵ㤷愱㔸㥤攰㔸挹〲っ㔸㜱㈱㡡搵㐹㡥㤵㉣挱㠰ㄵ㤷愲㔸㥤攲㔸挹㈲愴㔵搲攸戹ㄸ挵敡㌴挷㑡㤶㘱挰ㄷ㤷愳㔸㥤攱㔸挹㐲っ昸攲㠲ㄴ慢㤵㡥㤵㉣挵㠰ㄵ㤷愴㔸㥤攵㔸捤挰ㅦ攱㍡㠹㉦㉥㑡戱㍡挷戱㤲攵ㄸ昰挵㘵㈹㔶攷㌹㔶戲㈰〳愳攷挲ㄴ慢搵㡥㤵㉣挹㠰㉦㉥㑤戱扡挰戱㤲㐵ㄹ昰挵挵㈹㔶ㄷ㌹㔶戲㉣〳扥戸㍣挵㙡慤㘳㈵ぢ㌳㘰挵〵㉡㔶㤷㌸㔶戲㌴〳㔶㕣愲㘲㜵愹㘳㈵㡢㌳㘰挵㐵㉡㔶敢ㅤ㉢㔹㥥〱㉢㉥㔳戱扡摣戱㤲〵㑡慢㈴敥戹㔰挵㙡愳㘳㈵㑢㌴㘰挵愵㉡㔶㔷㌹㔶戲㐸〳ㄱ戹㔸挵敡ㅡ挷㑡㤶㘹挰㡡换㔵慣㌶㌹㔶戲㔰〳ㄱ戹㘰挵敡㝡挷㑡㤶㙡挰㡡㑢㔶慣㙥㄰慢㤸㤹敥㡡敢㔳㉥㜰捥挲㠷㍥㤳扡㐶愰㙦〶㥥㌱㘰挰㉢慥㑤戱㌸㌶搹㐲㜱㌹㡡攲ㄸ㥦㠲㉢㔰ㄴ㌳㝤ち㉥㍡㔱捣昰㈹戸捥㐴㌱摤愷攰搲ㄲ㐵扥㑦挱搵㈴㡡㘹㍥〵ㄷ㤰㈸愶晡ㄴ㕣㌳愲㌸摡愷攰㌲ㄱ挵ㄴ㥦㠲㉢㐳ㄴ㤳㝤ち㉥〶㔱㑣昲㈹㌸晦㐵㌱搱愷攰㤴ㄷ挵〴㥦㠲戳㕣ㄴ攳㝤ち㑥㙣㔱㡣昳㈹㌸㤷㐵㌱搶愷攰昴ㄵ挵ㄸ㥦㠲㌳㔶ㄴ愳㝤ち㑥㔲㔱㡣昲㈹㌸㉦㐵㤱攷㔳㜰㉡㡡㘲愴㑦挱搹㈷㡡ㄱ㍥〵㈷㥣㈸㠶㈷㉢㥡晤㍦〹ㅢ㤰挲</t>
  </si>
  <si>
    <t>㜸〱捤㝤〹㜸ㄴ㔵昶㝤㕥㤶㈶慦搹㑡〵ㄴ〱㑤搰㈸〸㠶㠴ㅤㄱ㈱㄰昶㔵挲攲㠲㠶㈶改㐰㈰ぢ愶ㄳ〸㡡㠳愳㠸晢㍡敥晢愸戸慦㈳㡣ㅢ㍡敥攳㍡㡥㡥㉢攲戸㐴摣㥤㜱ㅣㅤ㜷晤㥦㜳慢㕥昲扡扡扡戳晣收晦㝤㔳㜴㕦摥㝢昷搴扤敦㥣慡敡愵敡㜶㈵㑤愵愵愵晤㡡㠵晦㜳挹㘴愳㙦挹扡㔸㝤戴㍡㝦㔲㙤㔵㔵戴慣扥戲戶㈶㤶㕦㔴㔷ㄷ㔹㌷慢㌲㔶㥦〱㐰愸戴ㄲ晥㔸㔶㘹慣昲搸㘸㜶改㥡㘸㕤っ愰慣戴戴散㙣㥤づ㝦㙦敦改㤸㡥收㕡㍡㤳〶愸㌴ㅤ愲改㐴㤳㑤愳㘹挲㌴㥤㘹扡搰㜴愵改㐶搳㥤挶愱搹㠵㘶㔷㥡摤㘸㝡搰昴愴改㐵戳㍢捤ㅥ㌴捣慦昷愴改〳搳愵㉦捣㠲㐹ㄳ攷㉥㕢〹㌶㈵昵戵㜵搱挱㌹㡢摣㌹㡦㉢㉣捣㉦捣ㅦ㔱㌰㙡㘸㝥挱攰㥣㐹つ㔵昵つ㜵搱㜱㌵搱㠶晡扡㐸搵攰㥣㜹つ换慡㉡换㘶㐶搷㉤愸㕤ㄵ慤ㄹㄷ㕤㔶㌰㙣㔹㘴昸攸挲攱㈳㐶㔴㡣ㄹ㌳扡㑢㍦㐴㥥㌳㘹攲扣扡㘸㐵散扦ㄵ㜳㉦挶㥣㍢㘹㘲晥㥣㘸晤㝦㉢收摥㠸㠹㤰挵戵搵㤱捡㥡晦㔲搰㉣㙥搳ㄱ挵搱戲㑡㙥晣㘸戴慥戲㘶㜹㍥愶ㅤ㈷㌴㝡愳昲㡢㘲戱㠶敡搵摣㡦㈶㐵慢慡收㐷㉢㘴愳㔷ㄷ挷敡攷㐵敡慡㘳㕤慡愹㕦戴㉥㕡㔳ㄶ㡤㜵慢㥥摣㔸ㄶ慤昲㠰戱散敡㐵㤱扡㌹㤱敡㘸㈶ㅢ摤慢摤㙤㌸扤㍣㕡㔳㕦㔹扦慥㙢昵挲㔸㜴㝥愴㘶㜹㤴㤰慣敡愹つ㤵攵㉡㌳ㄳ㡦戴㡣晤㠳㘶㈶ㅢち昳愹㥥戴㈲㔲㔷㉦㍤㙥挲挲㈰慣戵扢〸㡢戸㜹㜱㤷捡昱慤挵㙤㔶㔲㔹㍤㌳㕡㔷ㄳ慤㘲ㄲ㙥挹㐱㍥㤰〸攴㙥㠷㘶愵っㅤ㙥㈵搵搹㍢昸挸㠵㔹㐲㌹㌰扤㡡ㄷ搶㔴㔶搴搶㔵て㥥㕤㔹㌳敥挰ㄱ㠳㘷㐷ㅡ戱敢敡㕣昸㜴㝦愲昶㠱改㔷㌸㘶晦㥣㐹㔵㤱㔸慣戲㉣愷㈴㔲ㄵ㡤攵㑣慤慢㕤㕢扦㈲㘷㘸挱搰㤱㝡㕦㠲昳㘰㔴收㜶ㅣ昲㜶㈲ㅥ㜶改愵㤱昴搲㘵改愵㘵改愵攵改愵搱昴搲㡡昴搲攵改愵㉢搲㑢㉢搳㑢㔷愶㤷慥〲挶㉣搹㥤㍡愵㝢㑢摥㘳〷㠷㍥ㅥ晣挲摣㠷㜶收晥摣戳换㠱㘵㡡㐷戹扣㐸散㡦㠶㙦攲挳摣㠹㡦搰〳攰搳〳㘱㐲〷挰昴㉢ㅣ㤵㜴攲挳ち昵㈰㠲〷挳㈸昵㌷㑣㥣㤳㝦㘴㑥愴愶昱晥㔷愶摤ㄸ㠹㍤㍥改攱摦ㅤ慢昸戲㈲㔹昳搱昰㘵ㅤ改㘶㉤搰㐳ㄸ愸〰㈶㔴〸搳慦戰㈰㘹搶愱愳昴㔰㠲㠷挱㈸昵扣㤷昵换ㄷ愳㘳㐷て㝡㙤搶扤敦㘷晦搸㜷㑤愷〱㡡慦㘳㤲㜵〴ㅡ扥慣挳摤慣㐳昵㐸〶ㅡ〵ㄳㅡつ搳慦㜰㜸搲慣攰㍡㠶攰㠳㘰㤴㝡搲换㝡挰攱搷敤扡㝤搳攰改㈷㝤㔱昰搶㉥㔷ㅣ昴㜷挵ㄷ㑥挹㝡㌰ㅡ扥慣捤㕣挷㌱搰㈱㌰愱昱㌰愹戸づㅢ愶㈷㄰㕣〴愳搴挳㕥搶昳扥晡㕤捦扥搷ㅣ㔵㜴昷て㜷晥摣㝦敤㈳㜳ㄴて㕡挹㍡〹㡤㘴㔹㡢ㄹ㘸㌲㑣㘸ち㑣捡慣㠵㝡㉡挱搳㘰㤴扡搷换㍡散㜷摦㝤搰㝢敢挵㌳ㅥ晥攱攴㐱扢㠴昵㜶挵户〶挹㍡〳㡤㘴㔹㘷㌲搰㉣㤸搰㙣㤸㔴㔹㠷㡥搱㜳〸㥥ぢ愳搴㕤㕥搶搷㌶㉦㈹摣敢慥摤㡢戶搶㘷㝣㕦搲晤换摥㡡敦㐵㤲昵㔰㌴㝣㔹㥢昷攱昹っ㔴〲ㄳ㕡〰㤳㙡ㅦ㐶搶㠵〴㉦㠲㔱敡㘶㤳㌵㘳挳㤴㝢㈷㔴捤㜸㜸敤戶慣㜹愳晡捤㔷㥤攱㤶慣㠷愱攱换摡㝣挸ㅦ捥㐰㐷挰㠴㡥㠴㐹㜹挸て搳㑢〸㍥ち㐶愹㙢扤慣捥挶㝢㔶㑤搸㜴敡攴捤敡㡥㑤㤷㉥戸愶㐰昱摤㔶戲㤶愲攱换摡扣て㉦㠵㑦㐷㘰㐲换㘰㔲敤挳㐳㐷攸㌲㠲换㘱㤴扡摣换㝡搵戲㤷晦㝣搱攲㠱搳捦摢㝣㐳戴㘰㐲㔳㔷挵户㜷挹㕡㠱㠶㉦㙢昳㍥扣㥣㠱㔶挰㠴㉡㘱㔲㙥搷搱㝡㈵挱慢㘰㤴扡挰换晡搰㜷㉢敦㥡扥㑢敤戴㌳挶㌶㡣敤昳㘱挱攳㡡㥦㈷㈴㙢㌵ㅡ扥慣捤㕣㙢ㄸ愸ㄶ㈶戴ㅡ㈶㈵搷㤱晡ㄸ㠲敢㘰㤴㍡换换晡挱㍢昳㑥扣昱愸换㡡㌶捤㍤敤攵慢捦换㕢慣昸〱㐶戲搶愳攱换摡扣㌷㌵㌰搰ㅡ㤸搰㕡㤸㤴㝢搳〸摤㐸昰㍡ㄸ愵㌶㜹㔹㘷攵㝥㜷攷ㄳ㐳㥦㈸摡㌲愰㙥昷㉤㔳扦敦慣昸㠹㐹戲ㅥ㠷㠶㉦㙢㌳搷昵っ㜴㍣㑣攸㌷㌰㈹戹㡥搲ㅢ〸㍥〱㐶愹つ㕥搶㈱搷晣戸㘳散㌹㡤㜳戶慤晦㜰㙢昷昴攵㡢ㄴ㍦愲㐹搶ㄳ搱挸㤹㠳户㉣㝣㡥㥡ㅤ㡤搴㡣㉢挸㉦ㄸ㍥㜴挴攰㤲晡昲攲攸ㅡ昶ちぢ㐷攸㤳㠰搲ㅢ㘱㐲㈷挳昴㥡ㅤ㙤慣㉣㡢搴攴㑣慦愹愸㡡昰〳〳摦戹㐶敢㑤㐴㥤〲愳㔴愳㤷㜸攰慡㠷扢捤摥㙤昱摣戳㥢㍥ㅢ昶㜲搶愵〷㈸㝥㉣㤴挴愷㌱㔰晣晢㘵㌳摤搳ㄹ攸っ㤸搰㤹㌰愹攸づ㉢搰㘷ㄱ㝣㌶㡣㔲挷㜸㔹㉦㕥㜶㜰捦㜹户㍦㕢㜴敥㡡㥦慦ㅣ㤶㌹攴ㄸ挵捦愱㤲昵㕣㌴㤲㘵㍤㡦㠱捥㠷〹晤づ㈶㔵㔶扣㔰㕣㐰昰㠵㌰㑡慤昴戲㙥戹㜹昴昲摢㡡㔶捥戸㙤换攰㕢㍥㌸摦ㄹ愲昸挱㔷戲㕥㡣㠶㉦㙢昳ぢ挵㈵っ㜴㈹㑣攸㌲㤸㤴㉦ㄴ挳昵攵〴㕦〱愳㔴㤹㤷㜵晤愰挳㥥晢㜹搶㈹戳㙥㌹㙣敡慤〵つ㑢摦㔷㍤攱㤶慣㔷愱攱换摡扣ㅢ㕦捤㐰搷挰㠴㝥て㤳㙡㌷㠶挲搷ㄲ㝣ㅤ㡣㔲㑢扣慣户愷摦戳攱搳㘸㐶搱捤㥤收㍤㤲戳慣㝥扤攲㐷㝢挹扡ㄹつ㕦搶收ㄷ㡡ㅢㄸ攸㐶㤸搰㑤㌰愹㕥㈸㤰昵㘶㠲㙦㠱㔱㙡愱㤷㜵挷㐷㐷㍣昱㐵㥦㙦㈷㥦㕢晤攲㉤愷慦㕣扥㔱昱扢㠴㘴扤つつ㕦搶㘶慥户㌳搰ㅤ㌰愱㍢㘱㔲㜱挵挷㠹扢〸扥ㅢ㐶愹㌹㕥搶㥤ぢ昳〷敥昳㘹㙣昶搶㥦摦晥㑦挶晡敢捥㔶㝢挰㉤㔹敦㐱挳㤷戵㤹敢ㄶ〶摡ちㄳ晡㈳㑣㉡慥昸捣㜷㉦挱昷挱㈸㌵搵换㝡㑥攴愳昱扤摥㝡戳攸昴ㄳ挷摦㜰昷攴㤷㥥㔴扤攱㤶慣て愰攱换摡捣昵㐱〶摡〶ㄳ㝡〸㈶㈵搷㘱晡㘱㠲晦〴愳搴〴㉦㙢㜸挶搶㐹㤷㉥捡㥦昲攰摤㜹㕢愷㡦晣戰㕡敤〹户㘴㝤ㄴつ㕦搶㘶慥㡦㌱搰攳㌰愱㈷㘰㔲㜲ㅤ愱㥦㈴昸㈹ㄸ愵挶㜸㔹て㍢㘹㘲户㝥昷㘵㑥扢昵敤摤㡥ㅢ晢挸收㕣搵〷㙥挹晡㌴ㅡ扥慣捤㕣㥦㘱愰㘷㘱㐲捦挱愴攴㍡㔲㍦㑦昰ぢ㌰㑡つ昵戲昶㕥㜳昴戶㥢㡦㝢㙤昶㤵摢换㥥㘸㤸戲挷扦扢扣〸昷愱摥攷晡攲扡挸㕡㝣㔳㙡昹ㄲ㠶㙦㥥晣搷晡户㑦㝣昹慣ㄸ㔱㌱慡愲戰戰㝣㐴㐱㘴㔸㈴㉢ㄷ㘱摢晡㌵㠷敦〶㕤㉡ㄶ㔷搶㤴搷慥㤵敦㍤㝤㈷㐶㘲搱㤶慦㐱㠳㍣摦挴摡㠶㥡昲㔸㥦㘰㘷㐹㝤愴㍥扡愷摦搷ㄲ㈴㘱戵ㄲ㝣㉢㡣挶㈴摦㕥晥搵ㄶ㐵慡ㅡ愲㐵㡤㤵慥扢㥦捦㡤敦㠴戵换㤲㝢愷搴㐵㡦㘹昶㈶捣愸〸㈷㉤搶㐸散〴㤶慥换㥤㔷捥愴ㄵ戵戱㘸㡤㑣㙦㔰昵扣捡戲㔵搱扡㤲㈸㑦㜹㐴换㠵㙡㑦扡扣㉦愶㠳收搶㠰㈸扥㙡㤶昷户㐷㉢㈶㌷搶㐷㙢捡愳攵㤸敦敡㘸㕤晤扡〵㤱㘵㔵搱㕥㜱㄰㌷㈷ㅣ扤攳㠶愷搴㤶㌵挴㈶搵搶搴搷搵㔶挵㝢㡡捡搷㐴昰㘵戸㝣㜶㙤㜹ㄴ摦㘵㌳戹愴愹戴㡣っ愵搲づ〸晡㐲挹戸戱㝣搹㄰搶㈶敥㠷㙤扥㐷晣㙥㤷㍦ㅦ散挰愲㉡捡㝤㌲㝤摦㔶㠲㐹㕣㠶ㄹ㤸ㅣ㘸㜱攲昹㈱愲〷㈴㐷换ㅣ㥢户摣晦㕦㜰㝡晡㙥ㅥ晢挹㙢㜰挲㘰㕡愴愶扣㉡㕡㤷昲散㤶攲㡣昴㕦㘱戲㠶攰㘸㑥慡㕥㈶㄰慡㔱慤换㕡㕢㔹㕥扦㈲戴㈲㕡戹㝣〵㍦摤攱っ㔸㜶㌶愵㑤㔸昴换ㄸ搲㝦愳㜹〵㈶ㅣ㑥ぢ扤㑡㔰㈸慣㕦㜳晢㔹晤昱㝦晢㑦㐵愴㘳㉤㉤愷㍥㜰㥥㉡㤶㔵㍤愵戶㉥㤶㤱ㄱ挴㜲㕡㈴戶愲㥥扢㘷㙡㈷攳扤㑥昳〶㑣搶扥㌰慤㥥改攸づ㔰㈶㑦攸㜴慤㉥㡥㔶㐴㜰ㅡ㑤㡥㙥ㄵ挹慡㜶捦捣ㄴ㐷㘳㘵㥡愷㜰愶攳㔸㘹っ愱㠵㠳扦㑢㌵昷晥㘸㘳㝤㜱愴㍥搲愹ㅡ㈷㠳戰㤵㌴㐰㠳㘴㉤户挵㌵扢捡㤸㔹㍢散昵㄰挱㤱愶ㄵ愵戳っ戸㤱㜰攰攰㜸㐹换昰㙣㙡ㄲ㤸晢㕥㈰ㄱ昲敦攸昱㈷㜵㜰慥愹㝣㙡戴㘶挱扡搵搱ㄸ攱搹愱㤴㔲晡て㉦〶㥢㕢戶㙣㘱㝤㘵㔵㉣ㅦ㌳挵搹㤹㠶搵晦捤㌸㡣愵摦㠴㌱㑢搶㝥搸㡢摢捥〹㜲愵㜵㕡挳㙤㔳㕡㥡㤶捤㘸ㅣ搱晢搰㜰㙦㐵戰㕦昱㥦㉣晡㙤晣ㄷ㑥攵换捡〳愲㍤㈷挰戲㠰敦㔲つ㠵ㄶ搴㐵攵㤴㕥戶㜴愰㜶搷敡挵戵㜵慢㤶搵搶慥攲晥搴㑤㝡戱ㄵ搱㘸㍤㑦㤳㜵昶㑥ぢ捡改㍦愵㌲㌲攲㑥㙤㔹攷搳昶㐶晣搰㝢㌰㕤㡢慡慡㜲㑣挴㔸攸㝤っ㘵攰㠴㕤愸〹㡤扤ㄷ攰晤ㄹ攷㠷愳㌹ㄵㄱ愰昰〵㘴㜸㑥挹ち㥣戸㍣戰㌰扦戱㉡搶愸晡㐲〴㥥㠳摡昱挲㝢㌷慤㥡㝣攲捣㡢ち㍦摣搸㤴㝦敦慢慡㡦攷㐸㌸㈵㌶〰㘱㜳昱搴ㅦ挲愸摥㠰昱挵〵敤昸㐵㝦㡣扥晥㠴收㔳ㄸ扣㐴㠸攸㜸㠵昸摣敤慡㠱昸㥦慦ㄲ晡ぢ㥡㝦挰愸㐱㌰㍣㐶昵㍦㘱捣愲ㅣ挴攷愶㤷捤㜷〰㠶ㄳ㌷摦扦㌱ㅡ搶㈹㝣㙡㌰㄰摣㠴㥡㤲㘹㡡愴㈹㤰ち㈱㜰愰〰㔹㥥㈳攱散摣㄰慣㈶〲晣挴昵㌳〰ぢㄶ攰ㄷ收愰㌰㥡㍢㥥㈵㐰扡摢㔵〵昰㠹〰ㄹㄸ搰扣㕡愱㠶㘲㐸〴挸㐲捦㉣敡㠷㕦㉣〱ち㌱㥣㈸㠰㘶㑣㥤挲愷㠶㘱扤㈰〱扥㐴昰㐰〱晥改㌹ㄲ㑥ㄴ㡥㐴愴㕣捥㘲㔷㑥昹ぢ挰㠲〵攸〱户敥㐹搳ぢ挶ㄲ㘰て户慢㐶㈱㠸〸搰㥢愰㍤㘱搴ㄸっ㠹〰㝤搰㌳㡢晡挰ㄶ㘰㌴㠶ㄳ〵搸㥢㌱㜵ち㥦㍡〸敢〵〹戰㍤㤹〰㙦㝡㡥㠴㜳㤶攳㄰㈹㤷戳ㄸ挰㈹扦㥥㔴㠰〳攰搶㠳㘸〶挳㔸〲攴扢㕤㜵〸㠲㠸〰㐳〸㉡㠰㔱ㄳ㌰㈴〲ㄴ愲㘷ㄶ昵ㄷ㕢㠰昱ㄸ㑥ㄴ㘰〴㘳敡ㄴ㍥㔵㠴昵㠲〴㜸㈲㤹〰㡦㝢㡥㠴搳愷挵㠸㤴换㔹ㅣ㠲愴敡搱愴〲㑣㠰㕢ㄷ搱㑣㠴戱〴㈸㜶扢㙡㌲㠲㠸〰㤳〹㥡〲愳㜸㈲㔵〴㤸㡡㥥㔹搴㝤戶〰㔳㌰㥣㈸挰㑣挶搴㈹㝣㙡ㅡ搶ぢㄲ攰㡥㘴〲摣敥㌹ㄲ捥攴捥㐴愴㕣捥㘲〱愷㝣㙢㔲〱ㄶ挱慤ㄷ搳ㅣ〶㘳〹㜰㠴摢㔵戳㄰㐴〴㌸㤲愰㈵㌰㙡づ㠶㐴㠰愳搰㌳㡢扡搶ㄶ㘰㌶㠶ㄳ〵㠸㌰愶㑥攱㔳㜳戱㕥㤰〰㤷㈴ㄳ攰㘲捦㤱㜰㔲㜹㍥㈲攵㜲ㄶ㉢㌹攵ぢ㤳ち㔰〵户慥愶愹㠱戱〴㔸敤㜶㔵〹㠲㠸〰挷㄰㔴〷愳ㄶ㘲㐸〴㠸愱㘷ㄶ㜵愶㉤挰〲っ㈷ち戰㤶㌱㜵ち㥦㕡㠴昵㠲〴㌸㌱㤹〰扦㌵〲昸捦㙦ㅦ㡥㐸戹㥣挵〹㥣昲㠶愴〲㥣〸户㍥㠹㘶㈳㡣㈵挰㈶户慢㡥㐰㄰ㄱ攰ㄴ㠲㑥㠵㔱㑢㌰㈴〲㥣㠶㥥㔹搴ㅡ㕢㠰㈳㌱㥣㈸挰㔹㡣愹㔳昸搴㔱㔸㉦㐸㠰慡㘴〲慣昲ㅣ〹愷摡㤷㈲㔲㉥㘷㜱ㄱ愷㕣㤹㔴㠰㑢攰搶㤷搲㕣〶㘳〹㜰㠵摢㔵ㄱ〴ㄱ〱慥㈴攸㉡ㄸ㔵㠶㈱ㄱ攰㙡昴捣愲㤶摡〲㉣挳㜰愲〰搷〱ㅦ搶㈹㝣慡ㅣ敢〵〹戰㈸㤹〰ぢ㍤㐷挲㔹㝦㥥搰捦攵㉣㙥攳㤴㑢㤲ち㜰〷摣晡㑥㥡扢㘰㉣〱晥攰㜶搵ち〴ㄱ〱敥㈱㘸ぢ㡣㕡㠹㈱ㄱ㘰㉢㝡㘶㔱㌳㙣〱㉡㌱㥣㈸挰晤㡣愹㔳昸搴㉡慣ㄷ㈴挰㠴㘴〲㡣昷ㅣ〹ㄷ㈰㙡㄰㈹㤷戳㜸㡣㔳ㅥ㤷㔴㠰㈷攰搶㑦搲㍣〵㘳〹昰戴摢㔵戵〸㈲〲㍣㐳搰戳㌰敡ㄸっ㠹〰捦愱㘷ㄶ㌵摣ㄶ㘰㌵㠶ㄳ〵㜸㤱㌱㜵ち㥦慡挳㝡㐱〲ㅣ㤰㑣㠰㠱㥥㈳攱㕡㐸〳㈲攵㜲ㄶ㙦㜰捡晢㈷ㄵ㘰㍢摣晡㉤㥡ㅤ㌰㤶〰㝦㜷扢㙡つ㠲㠸〰敦㄰昴㉥㡣㙡挴㤰〸昰ㅥ㝡㘶㔱㝢搹〲慣挵㜰愲〰㍢ㄹ㔳愷昰愹㜵㔸㉦㐸㠰ㅥ挹〴搸捤㜳㈴㕣㤶㔹㡦㐸戹㥣挵㍦㌸攵㕤㤲ち昰㈵摣晡㕦㌴㕦挱㔸〲㝣敤㜶搵昱〸㈲〲㝣㐳搰㝦㘰搴〶っ㠹〰摦愲㘷ㄶ㤵㙤ぢ昰ㅢっ㈷ち昰㈳㘳敡ㄴ㍥㜵〲搶ぢㄲ攰㤷㥦㤳㝣ㄴ晥搹㜳㈴㕣㈱㍡〹㤱㜲㌹㡢捣㜴㑣昹㐷挰㠲㍦ち㠷攰搶㥤㘸戲㘱㉣〱挲㙥㔷㙤㐴㤰晥っ搴㤹愰㉥㌰㙡ㄳ扡㈲㐰㔷昴捣愲扥㐲㡥收㉦㐳㈷㘳㌸㔱㠰㕤㠰て敢ㄴ㍥挵换㑦㐱〲㝣㥣㑣㠰㡦㍣㐷挲㤵慡搳ㄱ㐹〴搸㤳㔳摥㤹㔴㠰扥㜰敢㝥㌴㝢㜱㜶㉤摦〶㜳摣慥㍡〳㠱晡㤳㑥㉥㐱晤㘱搴㔹攸㡡〰晢愰㘷ㄶ戵挳ㄶ攰㑣っ㈷ち戰㍦昰㘱㥤挲愷捥挶㝡㐱〲扣㥣㑣㠰㤷㍣㐷挲㐵戳昳㄰㐹〴㈸攰㤴㕦㑣㉡挰㔰戸昵㌰㥡攱㥣㕤㡢〰㈳摤慥㍡ㅦ㠱晡㤳捥㈸㠲㐶挳愸ぢ搰ㄵ〱挶愰㘷ㄶ昵㤴㉤挰敦㌰㥣㈸挰㌸攰挳㍡㠵㑦㕤㠸昵㠲〴搸㤶㑣㠰〷㍤㐷挲昵扢㑢㄰㐹〴㤸挲㈹摦㥦㔴㠰㘹㜰敢改㌴㌳㌸扢ㄶ〱㘶戹㕤㜵㈹〲昵㈷㥤搹〴捤㠱㔱㤷愳㉢〲捣㐵捦㉣敡㉥㕢㠰换㌰㥣㈸㐰〹昰㘱㥤挲愷慥挰㝡㐱〲摣㤰㑣㠰捤㥥㈳攱㔲攲搵㠸㈴〲㉣攱㤴慦㑢㉡挰搱㜰敢㔲㥡愵㥣㕤㡢〰换摣慥扡〶㠱晡攳愹换〸㉡㠷㔱搷愲㉢〲㐴搱㌳㡢扡捣ㄶ攰昷ㄸ㑥ㄴ愰ㄲ昸戰㑥攱㔳搷㘱扤㈰〱捥㑤㈶挰㌹㥥㈳攱慡收つ㠸㈴〲搴㜱捡㘷㈵ㄵ愰ㅥ㙥摤㐰戳㠶戳㙢ㄱ愰搱敤㉡㕥昴散㑦㍡敢〸㍡ㄶ㐶摤㡣慥〸㜰ㅣ㝡㘶㔱ㅢ㙤〱㙥挲㜰愲〰ㅢ㠰て敢ㄴ㍥㜵ぢ搶ぢㄲ攰搸㘴〲慣㌳づ晦〵搶摢ㄱ㐹〴㌸㤵㔳㕥㥢㔴㠰搳攱搶㘷搰㥣挹搹戵〸㜰戶摢㔵㜷㈰㔰㝦搲㌹㠷愰㜳㘱搴㕤攸㡡〰攷愱㘷ㄶ㔵㘳ぢ㜰㈷㠶ㄳ〵戸㄰昸戰㑥攱㔳㜷㘳扤㈰〱捡つ㑦晦㌹挱㌲捦㤱㜰慤㜷ぢ㈲㠹〰㔷㜱捡㤱愴〲㕣〳户晥㍤捤戵㥣㕤㡢〰搷扢㕤戵ㄵ㠱晡㤳捥㘶㠲㙥㠰㔱昷愲㉢〲摣㠸㥥㔹搴㘱戶〰㝦挴㜰愲〰户〲ㅦ搶㈹㝣敡㍥慣ㄷ㈴挰㥣㘴〲捣昶ㅣ〹㤷㥤ㅦ㐴㈴ㄱ㘰ぢ愷㍣㌳愹〰㝦㠴㕢摦㑢㜳ㅦ㘷搷㈲挰〳㙥㔷㙤㐳愰晥愴昳㈰㐱摢㘰搴挳攸㡡〰て愱㘷ㄶ㌵搱ㄶ攰㈱っ㈷ち昰㈸昰㘱㥤挲愷晥㠴昵㠲〴ㄸ㥤㑣㠰㔱㥥㈳攱ち昸㘳㠸㈴〲㍣换㈹㡦㐸㉡挰昳㜰敢ㄷ㘸晥〲㘳〹昰㔷户慢ㅥ㐷愰晥愴昳ㄲ㐱㉦挳愸㈷搱ㄵ〱晥㠶㥥㔹搴㘰㕢㠰㈷㌰㥣㈸挰敢挰㠷㜵ち㥦㝡ち敢〵〹搰㍦㤹〰戹㥥㈳攱㘲晣㌳㠸㈴〲扣换㈹敦㥤㔴㠰昷攱搶㑤㌴ㅦ㜰㜶㉤㝢挰㠷㙥㔷㍤㡢㐰晤㐹攷㈳㠲㍥㠶㔱捦愳㉢〲㝣㠲㥥㔹㔴㉦㕢㠰攷㌰㥣㈸挰ㄷ挰㠷㜵ち㥦㝡〱敢〵〹搰㈵㤹〰㥤㍤㠷扦㉥㈰敢慦㠸搴㡥敢戹㥤㌹攱㡡㐵㤵搱戵扣〰搵慤〲挵捦㤳ㅡ㘲昵戵㜲戵慣㙢㐵㜱敤㥣摡晡攲捡搸敡慡挸扡摤㉡扣挶攲ㄵ搱ㅡ㕣换慥挳㈵㙤摦㔸敤敡搵搱㜲㕤㔱㔲摢㔰㔷ㄶ㥤㕥晣扦㜰慤ㅢ晣戰改攴㌲㜷扡挲搲戱换户㘹㔸ㄳ㝢〹㤶戴慣㤷ㄱ搰㝦ㄵ㑥㑡戰慤㉢收搲㜴〰散摥愲攸㠲捡晡慡㘸攷ち戹㕡㉤敤散ち愸㠸〲㠱昲㑥ㄵぢ㔶攰敡㔴㜱搷㡡愹㜵㤵攵㔵㤵㌵㔱㙥㡣ㅥ㉥㜴㔶㜴㌹㡡〱收搵挶㉡㔹扣搶戵㘲㐱㕤愴㈶戶㥡搷㌵换搶敤ㅡ搷㤳ぢ愰㔹ㄵㄳ㉢㙢㘲㐸㈳㕢㤱敤敥ㄵ㈵㉢㙡搷攲㠷ㄷつ搵㌵㔳㈳慢㘳晦ㄳ㕢㐵㜱戳挸㈲㥢㐶愵慢昴㜴㤵㥤㥥摤搱敤ㄳ晡て㡥戱㝥搸㐱换敡愲昵搱ㅣ慦戴㍤〷〳昵㜵㤵换ㅡ㈸㥤㘴ㅢち㥢㐹㈳㕢㌳㉤敢㙦㘸昹慦㘵㕡ㅢ搳㔷㠸挰㔹挷晤戴㈰昰㥡㜸昳敦㕡晡〱慥扦挵挴扡㝣〷㌳㘳敡挲改㉤㈵㍡晦愷ㅦ㠹㘴扤㠲挸㙤慥㠸攸〹㜰㌷㜷㘷㘲㤵〴昷㉤ㅣ愳搸㈷搸昳敦愰攱ち挱㜰㕦敤搶搲㥣㠲㡢敡㕤㉡㘶㐵㤶㐵慢㔰ぢ㔰ㅤ愹敦收㜶㔸㤴㠱㙡捣㤸攷㥢㔴㕢㕤ㅤ攱捥挷㥦㐲㤴㤴攱攷〲搹ㄵ㐵つ昵戵昸㠵㠱慥㠰㤱㍤搴ㅢ㡡㌴㘲㈸搲攸㕥戵慦㤸捦ㅡ㈱㘹㌳㔶敤昲㐸㕤㘵晤㡡敡捡戲㙣㜶㔸挷昳㍦戱搷攲㤵㈴ㄳ㘲㥡挵扣慡昸换〰摣㡢昱搸摣昹愸㥣愱㜴摣晣搸户搳㔵〸晦㔴〷㑢㐸昰ㅡ㈴㙦㉤晡〷㐴换挲㔳㕥㤴㘴㉥㕦捡㐵㔹㌴扦摣㠰㕤㔴㕥愶搴㙢〴攰愹㝦〴㤴つ㍥㌳㕦㠷㐹㔹㕦搰〹㠰昰慣摡㐸昹㤴㐸ㄹ㝥搶搴挹晢㔱㔳㌶㌶㉤㕦㜴敡ㅣ㔶㝣㑣㐲ㄱㄱ㡡㤳搶㔴㤶㐷敢戲㌹㔰㠲ㅦ㙤㘵戲㔶㈴攴㙥㐳㕣晢捥㐸换捡敡㥣ㅤ㤴㙢扡㠹戵慦㜷ㅤ摤晥㔱搸昴㠴昸㥦ㅦ㍡㥡㤷搳㐰㉢〳㔶晦〴㍡晡㘷㜲㝡〳㕤昲昱〱㝥㈱攰㔷㤸慣㌷攱昴㙦㥢昸攲ぢ㤴㘸㘸㠰㌲攵攷㐰㉣ぢ挹㐶〹㠵搴㤳㘴〹㤱捥㔶ㅤ㐸挸㉤〱挹㌶扦㌱ち㤵㘰㉦㡦㤶㠷摤㔷㕡搶㥢攰㍤㈲㉤㍤㍤ㄳ㥢㍡攴慦愱㑢㐸㡢㘰搵㈵㔱㈹㄰㔱㝢㘱ち㈱搶㄰ㅥ挴㠳〵昱㑢敤㕦摤㜸扦户㐱〱㠱晢晢㥢挷敥㐵〱挱戰攱㌹㌲挱㥣搹㈸㡣愹㕣㕤ㄵ㑤昸搴ㄱづ敢㜴ちㄶ㔶㙦挳ㅡ㥤挸㌶ㅣ收㐶搶搸㐲㌸㘱〶愳㍥㐴㤷㥦ㅢ慣㜷㌹昵㌱扡㝣愷㑢ぢ昱㐷㔹敤㝦㘵㔵㥦㘰㕤扥扡敡㄰㔳㝣㡡ㄶ㕦戴㥡㜷攲㙣㡣戶扥ㄳ㝦捥㌵昰搴晣戵㥦搹㠹搵ㄷㄸ㌱㠴搰㌴㝢〶昷て摤㤹挰㝦〴〳扡㄰搰㤵㠰㝦〲挰扤㈳搴つ扤㠱捤慡㕢㍦ㄹち㔰ㅤ㍦㡥㝡ㄵ敢愰搲攰㔷晣㈷ぢ㐴㜶㄰〱㈲晦ㅢ搶捣挹ㄲ㜹ㄷ愶摣㤵㈹㝦〲挰㉦昲㉦ㄸ㜳㐵摥つ㤰づ㠸捣㠹㠸挸㍤㤸㠲ち挵㠹摣ぢ愳慤㡢㥣㡥搵㐴攴摤㈵㠸摢㔱慣㠶㌰㠴㤰挵㠸扣〷㌰扡㌷㠱慣㤴〸〰散㐹㐰ㅦ〲㔸㍣㈱㈲昷㐵㙦㐰戳挸搶㉦愴〲㐴ㅥㄱ愴昱㕥〸〰㡤㔹㕤㘱㌲㕡ㅡ敦捤㡣㌹捣挸㑡〸扦挶㉣㝦㜰㌵捥〵愴〳ㅡ戳㜴㐲㌴敥捦ㄴ慣愱㠸搳㜸㕦㡣戶慥㌱㙢㉤昰挰㡦攵ㄸ〴つ㜹戲攰挲㄰挲㤸搱㜸㍦㘰昴晥〴戲ㄸ㈳〰㌰㠰㠰㠱〴戰㍥㐳㌴㍥〰扤㤶ㅤ搹晡㍤㔸㠰挶挱㍢昲㘰㐴㠰挸㝢㕢㈹㉤㤱て㘴捡㝣愶㘴戵㠵㕦㘴㤶㔸戸㈲て〱愴〳㈲戳㍣㐳㐴㉥㘰ち搶㘹挴㠹㍣ㄴ愳慤㡢捣㝡づ㍣㜰㠲㤷㐱搰㤰㈷㡢㍡〲㌴ㅣづ㡣ㅥ㐱㈰ぢ㍥〲〰㈳〹ㄸ㐵〰㙢㐰㐴攴搱攸戵㠸㥣㝡㐷づㄶ昹㈰㐴㠰挸慣ㄲ㌱㈹㉤㤱挷㌲攵挱㑣挹㡡づ扦挸ㄳ㌰收㡡㍣づ㤰づ㠸㕣㠴〰㈲昲㈱㑣㌱ㄱ扤㌸㤱㈷㘰戴㜵㤱㔹㌳㠲〷ち㑡ㄸ挴㠸捣挲ㄱ㐳〸㘳㘶㑦㥥〸㡣㥥㐴㈰㡢㑡〲〰挵〴㑣㈶㠰㜵㈶㈲昲ㄴ昴摡晡㙡㌱㈶攸搵㘲ㅡ〲㐰㘳ㄶ愲㤸㡣㤶挶搳㤹㜱〶㌳戲㘸挴慦㌱㉢㐵㕣㡤㘷〲搲〱㡤㔹㘵㈲ㅡ捦㘲ち㤶㥢挴㘹㍣〷愳慤㙢捣戲ㄴ㍣昰㥢㐲〶㐱㐳㥥慣㑤㌱㠴㌰㘶㌴㥥〷㡣㍥㤴㐰搶慤〴〰收ㄳ㔰㐲〰㑢㔹㐴攳〵攸戵㔵攳㔱㐱ㅡ㉦㐲〰㘸ㅣ戱㌲㕡ㅡ㉦㘶挶挳㤸㤱㜵㈹㝥㡤㔹㡣攲㙡㝣㌸㈰ㅤ搰㤸㠵㉣愲昱ㄱ㑣挱㡡㤶㌸㡤㤷㘰戴㜵㡤㔹昹㠲〷㝥换挸㈰㘸挸㤳攵㉦〱ㄲㅥつ㡣㉥㈵㤰愵㌱〱㠰愵〴㐴〸㘰戵㡣㘸扣っ扤ㄶ㡤㔳㝦戴〸摣㡦换ㄱ〰ㅡ戳㥣挶㘴戴㌴㡥㌲㘳〵㌳㥥〰㠰㕦攳ㄳ㌱收㙡扣ㅣ㤰づ㘸捣㕡ㄹ搱㜸〵㔳戰㘸㈶㑥攳㤵ㄸ㙤㕤㘳ㄶ搷攰㠱摦㔰㌲㠸搱㤸ㄵ㌶㠶㄰挶捣㝥㕣〵㡣慥㈶㤰搵㌷〱㠰ㅡ〲㙡〹㘰㐱㡥㘸扣ㅡ扤㜶㝣㘸㉥㙣挳㠷收㍡㠴㠴敡慣攱㌱㜳搸㔵㈶戹ぢ慣㡥㜱づ扣㘱㠵㘲扤㡤㕦㜵ㄶ搹戸慡㌷〰搲〱搵㔹愰㈳慡慦㘱ち㔶敡挴愹摥㠸搱搶㔵㘷㐵てㅥ戸㝥挳㈰㘸挸㤳㘵㍤㠶㄰挶㡣敡挷〲愳㡦㈳㤰㈵㍦〱㠰昵〴ㅣ㑦挰搵〰㠸敡扦㐱慦㘵捦㑥晤㔹㈳昰昳摣〹〸〰㡤㔹㈶㘴㌲㕡㝢昶㙦㤹昱㐴㘶㘴㐹㡦㕦㘳搶昱戸ㅡ㥦〴㐸〷㌴㘶つ㤰㘸扣㤱㈹㔸っㄴ愷昱㈶㡣戶慥㌱㡢㠶昰挰㑦㐸ㄹ〴つ㜹戲㜲挸㄰挲㤸搱昸㔴㘰昴㘹〴戲慡㈸〰㜰㍡〱㘷㄰挰㐲㈳搱昸㑣昴㕡昶散搴ㅦ㌵摡昸㜵昰㙣㠴㠴敡慣㑤㌲㜳戰㔴㍦㠷㜳㌸㤷㜳㘰ㅤ㤱㕦㜵ㄶて戹慡㥦〷㐸〷㔴㘷攱㤱愸㝥㍥㔳戰〲㈹㑥昵ぢ㌰摡扡敡慣㔴挲〳㍦㘶㘵㄰㌴攴挹㜲㈵㐳〸㘳㐶昵㡢㠰搱ㄷㄳ挸㔲愶〰挰㈵〴㕣㑡〰慢㥢㐴昵换搰㙢㔱㍤昵㥥摤㐶搵慦㐰㐸愸捥㠲㈸㌳〷㑢昵㉢㌹㠷慢㌸〷ㄶ㉦昹㔵㘷挵㤲慢晡搵㠰㜴㐰㜵㔶㍢㠹敡搷㌰〵换㥥攲㔴扦ㄶ愳慤慢捥昲㈸㍣昰戳㕡〶㐱㐳㥥敦挰ㅡ㐲ㄸ㌳慡㕦て㡣摥㑣攰扢挱㠰ㅢ〸戸㤱㠰昷〰㄰搵㙦㐲慦攵昵㈴昵㍢㘵攰敢挹㉤〸〰㡤㔹㜳㘵愶㘴㘹㝣㉢㌳摥挶㡣慣㡦昲㙢捣愲㈸㔷攳摢〱改㠰挶㉣愸ㄲ㡤敦㘰ち㔶㔶挵㘹㝣ㄷ㐶㕢搷㤸ㄵ㔸㜸攰攷扣っ㠲㠶㍣㔹㠶㘵〸㘱捣㘸晣〷㘰昴㍤〴戲㐴㉢〰戰㠵㠰慤〴戰㙡㑢㌴晥㈳㝡㉤ㅡ愷摥戳〳㍦昱摤㠷〰搰㤸㘵㕤㈶愳愵昱晤捣昸〰㌳㘶攲捣㥢㕦㘳搶㕤戹ㅡ㍦〸挸㙥敥㑦昸㕢㍤㌹慦㔸愹㈵捡㙥㘳㘰㤶㙣挵㈹晢㌰㐶㕢㔷㤶愵㕤㤸㌳㝥㍣捣㈰㘸挸㤳昵㕤㠶〶挶㡣戲㡦〰愳ㅦ㈵㤰戵㕦〱㠰挷〸㜸㥣〰㤶㠳㠹戲㑦愰户扦㌹扢㘱敥㌶㌰戹㜱戵晣收搳扡敤〰捥摢〵敥扣㑦㘱㝤〸换㜲㌱㤳戰慢捣㐸捥搲晤㤹〹㥦㘶㐲㤶㜶昹㠵㘵㍤㤷㉢散㌳㠰㜴㘰攷㘵㉤㤸㐸晣㉣㔳戰㈸㉣㑥攲攷㌱摡扡挴㉣ㅥㄳ㠹㕦㘰㄰捣㕤㥥戹ㄸ㌵㠴㌰㘶㈴晥ぢ㌰晡㐵〲㔹㕤ㄶ〰昸㉢〱㉦ㄱ挰㠲㌳㤱昸㘵昴㕡扥㜷愷摥㜹ぢぢ㠲扥慦扣㠲〸㄰㤹㈵㘹㈶愵戵昷扥捡㤴慦㌱㈵换挷晣㈲戳㘶捣ㄵ昹㜵㐰㍡㈰㌲敢捤㐴攴㌷㤸㠲㠵㘷㜱㈲㙦挷㘸敢㈲戳㐰㑤㐴㝥㡢㐱㡣挸慣㔲㌳㠴㉣㤱㜷〰愳摦㈶㜰㜴㌰攰敦〴扣㐳〰㡢摡㐴攴㜷搱㙢敢㉢㐴攰昷㤵昷ㄱ〰ㅡ戳敡捤㑣挹搲戸㠹ㄹ㍦㘰㐶㔶愸昹㌵㘶㔹㥡慢昱㑥㐰㍡愰㌱㑢摡㐴攳て㤹㠲戵㙤㜱ㅡ㝦㡣搱搶㌵㘶つ㥣㘸晣〹㠳ㄸ㡤㔹〸㘷〸㔹ㅡ㝦ち㡣晥㡣㐰ㄶ挹〵〰㍥㈷攰ぢ〲㔸㌷㈷ㅡ晦〳扤ㄶ㡤慤㕢㙢〵㥣愵ㅢㅥ戴ㅦ㝦㠹〰搰㤸㠵㜵㈶愳愵昱扦㤸昱㉢㘶㘴ㄱ㥣㕦㘳㔶扥戹ㅡ晦ㅢ㤰づ㘸捣慡㌹搱昸㙢愶㔸㡡㕥㥣挶晦挱㘸敢ㅡ戳捣㑥㌴晥㤶㐱㡣挶慣戵㌳㠴㉣㡤扦〳㐶㝦㑦㘰㜹㌰攰〷〲㝥㈴㈰ち㠰㘸晣ㄳ㝡㉤㉦ㄶ愹㍦㑤〴扦㔸晣㠲〸㄰㤹挵㝢㘶㑥㤶挸扦㌲㘵ㅡ慥〳㉡ㄶ摡昹㐵㘶㜵㥤㉢㌲㉦ㄵ㜶㐰㘴㔶收㠹挸戸㤰㤴愶㔸愲ㄷ㈷㌲㝥戵摦〶㤱ㅢ戱㥡㠸㥣挵㈰㐶㘴搶昳ㄹ㐲㤶挸㈱㘰㜴㈷〲㔹敢ㄷ〰挸㈶㠰户㕡㔴㉣晦ㄳ㤱挳攸戵散挸愹扦㥥㡣づ摡㤱扢㈰〰㌴㘶㝤愰挹㘸㘹摣㤵ㄹ扢㌱㈳㙢昹晣ㅡ戳㠰捦搵戸㍢㈰ㅤ搰㤸挵㝦愲戱挳ㄴ慣〲㡣搳㜸㔷㡣戶扥㈳戳㕡㔰㌴摥㡤㐱㡣挶㉣ㄹ㌴㠴㉣㡤㝢〰愳㝢ㄲ挸㜲挲〰㐰㉦〲㜶㈷㠰ㄵ㠶愲昱ㅥ攸戵㘸㥣㝡㐷づ晣挸戶㈷〲㐰㘳㤶㈰㥡㡣㤶挶㝤㤸戱㉦㌳戲㕣搰慦昱㌵ㄸ㜳㌵敥〷㐸〷㌴晥㍤〲㠸挶㝢㌱〵ぢつ攳㌴捥挱㘸敢ㅡ戳㈰㔱㌴捥㘵㄰愳昱㘶㡣ㅡ㐲㤶挶晤㠱搱晢㄰挸㡡挵〰挰扥〴攴ㄱ挰㈲㐶搱㜸㍦昴㕡㌴㑥扤ㅦ〷扥㈰て㐰〰㘸捣㉡㐷㤳搱搲㜸㈰㌳ㅥ挰㡣慣㐸昴㙢捣㌲㐴㔷攳㐱㠰㜴㐰㘳㤶㌰㡡挶㠳㤹攲㍥昴攲㌴捥挷㘸敢ㅡ戳收㔱㌴ㅥ挲㈰㐶㘳ㄶ㍥ㅡ㐲㤶挶〵挰攸㐲〲㔹ㄴㄹ〰ㄸ㑡挰㌰〲㔸㈷㈹ㅡて㐷慦攵㑢㜵敡晤ㄸ㕦慡摢㜲㤲㙥㈴㐲㐲昵㐷慤㌹散捡㤱戰㥣愴ㅢ挵㌹㡣收ㅣ㔸〶改㔷㥤戵㡦慥敡㘳〰改㠰敡慣㥢ㄴ搵て㘲ちㄶ㔰挶愹㝥㌰㐶㕢㔷㥤㠵㤶愲晡㌸〶㌱慡戳摡㌲㐰搴㐳㠰搱攳〹㘴㈵㘶〰㘰〲〱㐵〴戰㌸㔳㔴㥦㠸㕥㡢敡愹昷散㌶慡㕥㡣㤰㔰㥤昵㥣㘶づ㤶敡㤳㌹㠷㈹㥣挳扢〰昸㔵㘷挱愵慢晡㔴㐰㍡愰㍡㡢㌵㐵昵㘹㑣挱慡捤㌸搵㘷㘰戴㜵搵㔹摤㈹慡捦㘴㄰愳㍡㑢㍣つ㈱㡣㤹㙦㉡戳㠰搱戳〹㘴昹㘷〰㘰づ〱㜳〹㘰㐵愸愸㍥て扤ㄶ搵㕢摤搷摢㔲挵㌱ㅦ㈱愱㍡㡢㐸捤ㅣ慣㔷㤸ㄲ捥㘱〱攷挰㐲㌳攱戶㤰㍤㡦㕢ㄶ㡢㠵晣㌵㌰〹昵㐹㤲愱㠲㤵㑡㈵昵敢㔰㑢㈲㑤搶挴戸㉤㔶昷㠴㘵っ㤵㍡戵㜵戸昰㥦改扦㡢㑤昳扡㉦㈲㜱攷ㅥ扥㍢〴挹㙡昴戰㄰㉡敢㤶ㅦㄳ敦㠲搳扣㍥㈷摥㜲扢㄰慥挳㈵戴ㄸ㔳散㌱扢戲慣慥㌶㔶㕢㔱㡦㑡㤸㥡㔸づ敦戸㔴㤱㤶㔶㔰㤴㜵ㄳ㈲〶收㈴戱捣ㅡ摥挸㜷つ敦㐰ㄲ㕥㔵㔳扢戶㐶㘶㤳ㄵ攳㡤愷㐴慦㑥㥤㤸㈶捣㍣㕣昶㠱㜸づ㡢愶戸戲㍥ㅣ戶㙢㠶挳慡㈳㉥づ㉢㡦愴挱㌲㈳㘹戰搴㠸㑢㔶㍡㍥ㄸ戶戵敥㠷戱搵㌲㔵愶捡㔵㌴戳㔳㈷㤵攷扢扤㔱㐲扤㔰昳晤㘱㐲㈱㤶ぢ㘵摤〰捡㙤㕢㈹㕥㔱慥㉣㉦㤲㐷㘲ち㝡〹㑣搸挹挰挴㌹愱搰㔱戰扢㑥㥡㔸㡡晢㤶㤸㍢㤹㜰㉦〸ㅤ㡤昱㉥ㄸ㤷㤲㈳摣㙣㌹ㄶ㉡挵㐸㌷㡣㔸〵㤲愱愵ㄸ摢〵㘳昱㌷㔴㜶㌲扤攸扡〹㈹㜴㝦㥡㕣㥡㜲挰㔵〸㑥搹〸㔱昶㌰㉣捦㙣㡣㜲挷㔵㤷㠱㈵㜷ㄷ㌸昰〳㝥㐰戸戹搵㈵ㄸ攱㈶㡦摦㘴摡攴愹〴づ㥢㉣㡣㍥ㄷ愷戳㘹㜴㌱㡤慥㕥㐳㌹㘸㜰戳愹㡢㄰㡥㤲㡡㌴慢㄰㐰㔷挱㠴㥤㕤攰㘴㕡㑤㘹㌴㜵搰愴慥挹搵搹搵㌸㥢㠸ㄸ㐸㌳㠰愶ㅥ㑥搵㠳㘱搹㙢㘰てつ㜹昶挲愸㌰㍢ㅤ挹っ戳搰㕡㐰㤲敥摤敡㔴㐰ㄳ改敥㙥㤲慦挳捡愰扢〷晡㕣㥣摥愶戱愷㘹昴昱ㅡ㙡㉦㌴㠴敥㈶㥢敥㜱〸愰搷挳㠴㥤扤〱㐰㈳㉤㜴㍣㙣搰㥥昰ㅢ㡣挷敦〹ㅢ㌰攲摦ㄳ㑥挰㔸挰㥥㤰攳㐵㜷昷㠴〲攴㜱㙦㥦扣ㄱ㜰搵ㅦ㑥搱敢㘴昶攰㤳攷扥ㄸㄵ扤㡥戵昴㙡搹ㄳㅡ〳愵挹㌳㜹㑥㐳㈸㐸戳ㅦ晡㕣㥣晤㑤㘳㠰㘹っ昴ㅡ㙡㌰ㅡ㈲捤ㅡ㕢㥡㌳㄰㐰㥦〹ㄳ㜶づ〴〰㡤攰㍤㈱摦㌸㥢㠸ㄸ㐵㌳㤲收〲慣愱ち攰ㄴ㘶ㄷ戲㠷㘱㜹づ挵愸㌰㕢ㄹ挸㙣㐵㈰戳㘱㈶捦愵〸〵㘶挳搱攷攲㡣㌰㡤㤱愶㌱捡㙢愸㠳搰㄰㘶ㄵ㌶戳换ㄱ㐰㕦〱ㄳ㜶挶〲㠰㐶㌰戳㠳㡤戳㠹㠸㐳㘸挶搱㕣㡦㌵搴㈱㜰ち戳捤散㘱㔸㥥ㄳ㌰㉡捣㡥戰㤹㜱ㅦ㤷愳昷戰㐰㘶㐵㈶捦捤挰㠱搹㐴昴戹㌸㤳㑣愳搸㌴㈶㝢つ㌵つつ㘱戶挸㘶㜶㉢〲攸摢㘰挲捥㜴〰㤸㔶㜳㜷搶摣㜷㌵㜷㔷捤晤搳㤹㘱㥣㑤㐴㑣愶㈹愶搹〲愷㥡〵愷㌰摢捡ㅥ㠶攵㌹〷愳挲㙣㐶㈰戳㘹㠱捣㔸挳㠱㈰㘹晡㝥㔸㌰㥢㠷㍥ㄷ攷㔰搳㤸㙦ㅡ㈵㕥㐳㉤㐲㐳㤸㑤戱㤹㍤㠸〰㝡ㅢ㑣搸㔹っ㠰〴つ㘲㜶㤸㜱㌶㈱㡤摣挴㕡捦㘴敢〹慣愱㡥㠰㔳㤸㍤挹ㅥ㠶攵戹〴愳挲散㈰㥢㔹昳㉢敥攸㐰㘶慣㥣㤰㐹㍣〳ぢ㘶㐷愳捦挵㈹㌵㡤愵愶ㄱ昱ㅡ慡ㅣつ㘱㌶搲㘶昶ㅣ〲攸攷㘱挲㑥ㄴ〰〹ㅡ昴㡡㕢㘱㥣㑤㐸㈳㌷捡搶昳搹㝡〵㙢愸ㄵ㜰ち戳㔷搹挳㌰晡愸㐰㠱ㄵ㘶〷〴㌲ㅢ㄰挸㙣ㄵ㔶㤲㐹扣〹ぢ㘶㔵っ㠵挵愹㌶㡤ㅡ搳㘰㐱〲ㄷ㔵㠷㠶㌰摢捦㘶昶ㄶ〲攸ㅤ㌰㘱㈷〶㠰〴ㄵ㘶㑢改㘸㝥㐳㜱敡㡤戳〹戱昴晢㜴昲㤶㈴晡㜰㠶㕥〳愷㌰摢㠹㜱搹㕥ㅣ㙤挴愸㌰摢㌳㤰搹ㅥ㠱捣搶㤹㍣㥦㈰ㄴ㤸ㅤ㡢㍥ㄷ攷㌸搳㔸㙦ㅡ扣攸捦㐵㥤㠰㠶㌰敢㘵㌳晢㡣㜳晣ㅣ㈶散晣ㄶ〰㌴㠲㕦㐱㑥㌴捥㈶㈲㈲㌴㑢㘹扥挶ㅡ㙡㈳㥣挲散ㅢ昶㌰㉣捦㑤ㄸㄵ㘶㘱㥢㔹昳㉢㐸㜶㈰㌳㕥㠹㤷㐹㝣てぢ㘶愷愲捦挵㌹捤㌴㑥㌷㡤㌳扣㠶㍡ㅢつ㘱ㄶ戲㤹晤㠸〰晡㈷㤸戰挳慢攲ㄲ㌴攸㌸㍢搷㌸㥢㤰㐶㙥㉡慥㤷戳㤵㤹〵ㅥ攷挳㈹捣戲搸挳戰㍣㉦挰愸㌰晢攱㠷㤶昷晦㤶昷戳敦㌰㝡ㄳ愶ㄲ晦挹㠶㔷扢㘵ㄲ晣㑢㈷㘰㜶ㄱ晡㕣㥣㡢㑤攳ㄲ搳戸搴㙢愸㉢搰㄰㘶晦㐱挸ㅢ㄰㔲㍥搹㜴㐶〰摤〵㈶散昰捡戳〴つ㍡捥慥㌲捥㈶愴㤱ㅢ㤷㙢晥㝥㐶昷㈰㤷㙢攰ㄴ㘶㍤搹挳戰㍣慦挵愸㌰晢㌴㤰搹挷㠱捣慥㌳㜹㝡㈳ㄴ㤸㕤㡦㍥ㄷ㘷戳㘹摣㘰ㅡ扣㘴捣㐵摤㠲㠶㌰晢搰㘶搶〷〱㜴㕦㤸戰㜳㉢〰㐹㤹摤㘶㥣㑤㠸㈵㌷㐷搷つ㙣敤㑢㉥㜷挰㈹捣昲搸㘳㌲㍥敦挲愸㌰摢ㅥ挸散㡤㐰㘶㜷㥢㍣〳ㄱち捣晥㠰㍥ㄷ攷ㅥ搳搸㘲ㅡ扣㔰换㐵摤㠷㠶㌰㝢捤㘶㌶〸〱昴㘰㤸戰㜳㍦〰㐹㤹㍤㘰㥣㑤㠸㈵㌷㘰搷扣㌱㠸ㅥ㑥㉥摢攰ㄴ㘶㈳搸㘳㌲㍥ㅦ挶愸㌰㝢搶㘲ㄶㅡ〵㐸昲㑦愳㑦〷搲晤㤳㐹㍥〶㉢㠳敥㈳攸㜳㜱ㅥ㌵㡤挷㑣攳㜱慦愱㥥㐲㐳攸㍥攵搱愵㐳㡦㐵〰㝤㌰㑣搸攱戵㑦搲つ㡤㐳㌷攸搳攸㈱ㄸ㡦晦㌴㍡ㅥ㈳晥㑦愳ㄳ㌰ㄶ昰㘹昴㘹㉦扡㙥㘲摡㡤㌴㈷搱ㄴ〳慥㥥㠵㔳昴㥡捣ㅥ㠶攵昹㍣㐶㐵慦〷㉣扤㕡㡥摥晢〲愵㜹〱㉢挹㐶㥢㡥㔰㤰收㉦攸㜳㜱㜸ㄱ㔴ㅡ㝦㌵㡤㤷扣㠶㝡〵つ㤱收㡦㥥㌴㜲昴捥㐴〰㍤ぢ㈶散昰㡡㘵搲㍤攱㌵攳㙣㐲㜸戹㌷扤㍥㥤慤〵攴昲〶㥣挲㙣㈱㝢ㄸ㤶攷㜶㡣ち戳㕢〲㤹摤ㄴ挸散㉤㤳攷㜰㠴〲戳ㅤ攸㜳㜱㜸攵㔱ㅡ㝦㌷㡤㜷扣㠶㝡ㅦつ㘱㜶㠳捤散㐸〴搰㑢㘰挲㑥ㄳ〰㐹㤹㝤㘰㥣㑤〸㉦昷扦搷攷戱㔵㑥㉥ㅦ挲㈹捣愲散㘱㔸㥥ㅦ㘳㔴㤸㕤ㄶ挸散㤲㐰㘶㥦㤸㍣㤵〸〵㘶㥦愲捦挵昹捣㌴㍥㌷㡤㉦扣㠶晡ㄲつ㘱㜶㤱捤㙣ㄵ〲攸㉡㤸戰昳㉦〰㤲㌲晢捡㌸㥢㤰㐶敥戱慦㜹㑢て㕤㑦㉥㕦挳㈹捣ㅡ搸挳戰㍣晦㠳㔱㘱㜶㝡㈰戳㔳〳㤹㝤㙢昲慣㐳㈸㌰晢づ㝤㉥捥昷愶昱㠳㘹晣攸㌵搴㉦㘸〸戳㑤㌶戳攳㄰㐰慦㠷〹㍢扦〲㤰㤴ㄹ㍤攲㙣㐲ㅡ㝤つ捤搵㌴ㅢ挹㐵㉥㜲戱㜷㌲㝢㘸挸㌳ㄳ㜸㘱㜶慣捤慣昹晤扦㌱㤰㔹㤶挹㜳ㅡ㐲㠱ㄹ㉦㙢㜱㜱㜸㘹㑢ㅡ扣㡥㈵つ敤㌵㔴ㄷ㌴㠴搹ㅡ㥢搹ㄹ〸愰捦㠴〹㍢扣㄰㐵㜰攰㌷〸㕥愰ㄲ愷㌰扢㤱㌰摥㠴㐳㕦㐰㉥㜲㘹㠹扤ぢ搹㐳㐳㥥扣戴㈴捣㔶摡捣㥡㍦㘷慦〸㘴挶ぢ㑣㤲攷㔲㠴〲戳ㅥ散㘰㜱㝡㥡〶慦ㅥ挹挸敥㕥㐳昱摡㡦㌰慢戰㤹㕤㡥〰晡ち㤸戰搳〷〰㠲〳捦㙣昴㌵㑥㘱挶晢㘱㘸摥㕤㐳㕦㑦㉥㝢挱㐹㌲㝡㌳㝢㘸挸㌳〷愳挲散〸㥢㔹昳㌶㍢㉣㤰ㄹ㉦敢攰㤱愶㙦㐶㈸㌰攳㈵ㅣ㉥づ㉦攳㐸㘳㕦搳挸昳ㅡ㡡㔷㕣㠴搹㈲㥢搹慤〸愰㙦㠳〹㍢〳〱㈰㌸㜰㥢昱㘲㡣㌸㠵ㄹ㙦㜴愱户㠸㈱㤷挱昰〸戳慤散㘱㌸〳㑦挵换㈸挲㙣㠶捤慣㜹㥢㑤ぢ㘴挶㡢㈹㤲攷㝥㠴〲㌳㕥㌸攱攲昰攲㠹㌴㜸愵㐴ㅡ扣㕡挲㐵昱慡㠶㌰㥢㘲㌳㝢㄰〱昴㌶㤸戰㌳ち〰㠲摤㙤戶ㄴ㑤敢ㅢ〴㉦㜸㠸㔳㤸㍤㈶㙢ㄱ换㥢㘲㈸戹㔴挱摥㤳ㄸ㙦㘶㜶㌰昰挲散㈰㥢㔹昳㌶ㅢㅤ挸㙣㥣挹昳っ㐲㠱搹㈱㑣㡡挵ㄹ㙦ㅡㄳ㑣㠳㔷㈴戸愸㘲㌴㠴搹㐸㥢搹㜳㥣攳昳㌰㘱㘷㌲〰〴扢摢散〴㌴㕢扥慥㍢扣愸㈰㑥㘱昶㌲搷㝡㥣搸挷ㄸ㕡㉥〷戰昷㉡挶㘵㑦攴㈸㉦〷〸戳〳㙣㘶捤摢㙣㐰㈰戳㤹㈶捦㥢〸〵㘶戳㤸ㄴ㡢挳㡢〰搲攰ㄹ㝦㘹昰慣㍦ㄷ挵戳昳挲㙣㍦㥢搹㕢㥣攳づ㤸戰挳ㄳ昴〴〷ㅥ㘷ぢ㡣㔳㤸㍤㑢搸㌳㌴ㅦ㘰㔵㘷愱㜱敥㤴改㘴ㅤ㡥晥㔸摦㜹攲攰摦慡て昲晦〵㠱挹昸㡢〰扣晡㥦㤶㠱ㅦ改扡㍦㙤捤㑣㍦愸㘳戱㜸㈶㥡扦㙣攷㌳㙢㑦戰晥㍦挴攱昶㙡㌹摢捦㠸㝢攳愹㍦〲攱敥㐷㠲㉥晥挷㉦㘳攳㤶㉦挷㝢摤〹敥晦搹摥晦捥㠴敥㑢捣ㅡ㐷愹摣昳㡢戲摥摤㜰昵扦㙥ㄹ㥢㜷攵㥤扦㝡晦㙦㜰搷攸昱㠸晢晦㝥ㄳ㔴㌹搶挸㐳㑦扦㐷昳㍥つ户㠴敡〹㕡摢昱㍢捦㠴晢㜱昷昰ㅣ晥晢㜱㍢㔱㐴挲〳〵㍦戲戱㔴㈵㍡摣㘰㙡㔷慣㐱㤵㠴搸㍦㐹㙣ㄵ㠶摢㐷慣捡慣㤱㥡㔸昶㈳㤸〰㤶晣〹慡ㅥ㙢〴ㄱ敢敡捤㍦㠱㔸ㄷ捦攱扦捦戶搳㠰㐸㜸愴改㙦㕣㘲敢搰ㄱ㘲㘱㥢搸户㈴㜶ㅣ㕣敤㈳戶摥慣㤱㥡搸ㅥ㡦㤰ㄶ㙥扢㌱㐱㙤挴ㅡ㐱挴戲㤲ㄱ换昴ㅣ晥晢㘷㍢㈷㈳ㄲㅥ昸㌱戹㑢散㌴㜴㠴㔸扡㑤散㔷ㄲ㍢〳慥昶ㄱ㍢搳慣㤱㥡㤸昳〸㘹愱〴㘱㠲扡〰㙢〴ㄱ晢昹晢㈴扢攲㑦㥥挳㝦㕦㙣攷㐲㐴挲〳㝦ㄷㄵ㠷㑥搷っ㜵㈹㍡㐲散〷慣搱扣㉢㜶㠲戳晢攵㜰戵㡦搸ㄵ㘶㡤搴挴慣㉤㜶㍤搶〸㈲昶㑤㌲㘲㕦㝢づ晦晤慥㥤捤㠸㠴〷㝥挳敤ㄲ扢ㄹㅤ㈱昶㤵㑤慣㍢㠹摤ち㔷晢㠸摤㘶搶㘸㌳戱㉤㔸㈳㠸搸ㄷ挹㠸㝤敥㌹晣昷戱㜶戶㈲ㄲㅥ愸㄰㜲㠹摤㡦㡥㄰晢搴㈶戶㍢㠹㍤〸㔷晢㠸㙤㌳㙢戴㤹搸ㄳ㔸㈳㠸搸捥㘴挴㍥昰ㅣ晥晢㔳㍢㑦㈲ㄲㅥ戸攷愴㑢散ㄹ㜴㠴搸晢㌶戱扤㐹散㌹戸摡㐷散㜹戳㐶㙡㘲搶慢攲㉢㔸㈳㠸搸摢挹㠸敤㌰挴㝣昷㥤㜶㕥㐵㈴㍣㔰㑥攴ㄲ㝢ㄳㅤ㈱戶摤㈶戶㍦㠹扤〵㔷晢㠸敤㌰㙢愴㈶㘶扤㡦昱㝣㜱㄰戱㔷㤳ㄱ㝢挵㜳昸敦㈷敤散㐴㈴㍣搲昴㠱㉥戱㑦搰ㄱ㘲㉦摢挴㠶㤰搸㘷㜰戵㡦搸攷㘶㡤搴挴慣㔷挵慦戱㐶㄰戱ㄷ㤲ㄱ㝢摥㜳昸敦ㄳ敤㝣㠳㐸㜸攰㌷摦㉥戱敦搱ㄱ㘲捦摡挴㐶㤱搸㡦㜰戵㡦搸㑦㘶㡤搴挴慣㔷挵㑣㈴〸㈲昶㘴㌲㘲㑦㜸づ晦晤㥦㥤㉣㐴ㄲ㘲攳㕣㘲ㅡ㝤㈱昶㤸㑤㙣㍣㠹㜵㠶ぢ㡦㜶㝣愴敡㘲搶㐸㑤捣摡㘲㍤戰㐶ㅥ㜵昶㝤愴㝡㈸ㄹ戱㙤㥥挳㝦㕦㘷愷㈷㈲〹戱挹㉥戱摥攸ぢ戱〷㙣㘲㔳㐹慣て㕣㜸戴㠳㔸㕦戳㐶㙡㘲搶㡢挷扥㔸㈳㉦㠰搸搶㘴挴戶㜸づ晦晤㥡㥤㍣㐴ㄲ㘲戳㕤㘲〳搱ㄷ㘲㝦戰㠹捤㈵戱㐱㜰攱搱づ㘲㠳捤ㅡ愹㠹㔹㕢㙣㌸搶挸ぢ㈰㜶㝢㌲㘲户㜹づ晦㝤㤸㥤ㄱ㠸㈴挴ㄶ扡挴挶愰㉦挴㙥戱㠹㉤㈶戱戱㜰攱搱づ㘲〷㥢㌵㤲ㄱ㝢晣㥢〱㑢捥㜹㙣昳昸㈳捡挷扥㌳昷慣㔳挶慢㘲慣㤱ㄷ㐰㙣㜳㌲㘲搷㝢づ晦晤㤵㥤挹㠸㈴挴㡥㜲㠹㑤㐷㕦㠸㕤㙢ㄳ㉢㈵戱㤹㜰攱搱づ㘲戳捣ㅡ挹㠸㈱ㅡㄶ㙢㡢㉤挰ㅡ㜹ㄸ昲ㅦ㘳㔷㈶㈳㜶㠵攷昰摦㌷搹㔹㠸㐸㐲㉣敡ㄲ㍢ㅣ㝤㈱㜶㤹㑤㙣㌹㠹ㅤ〹ㄷㅥ敤㈰戶挴慣搱㘶㘲攵㔸㈳㉦㠰搸㠵挹㠸㕤攰㌹晣昷㐳㜶愲㠸㈴挴慡㕤㘲㤵攸ぢ戱昳㙤㘲戵㈴戶ち㉥㍣摡㐱慣捡慣㤱㥡㤸昵〶㕤㡦㌵昲〲㠸㥤㤵㡣搸㤹㥥挳㝦㥦㘳愷〱㤱㠴㔸㠳㑢㙣ㅤ晡㐲散㜴㥢搸㕡ㄲ㍢づ㉥㍣摡㐱㙣扤㔹㈳㌵㌱敢㔵㜱㈳搶挸ぢ㈰㜶㜲㌲㘲ㅢ㍤㠷晦晥挵捥挹㠸㈴挴㡥㜷㠹㥤㠶扥㄰㍢搱㈶戶㠱挴捥㠰ぢ㡦㜶㄰㍢搳慣㤱㥡㤸昵〶㝤〱搶挸ぢ㈰㜶㝣㌲㘲敢㡤挳㜷㕦㘲攷㐲㐴ㄲ㘲㈷扢挴㉥㐵㕦㠸ㅤ㙢ㄳ㍢㠵挴㉥㠷ぢ㡦㜶㄰扢挲慣㤱㥡㤸戵挵慥挷ㅡ㜹〱挴ㅡ捣晣晤昷ㅢ慥昷ㅣ晥晢つ㍢㥢ㄱ㐹㠸㥤攵ㄲ扢ㄹ㝤㈱㔶㘷ㄳ㍢㠷挴㙥㠵ぢ㡦㜶㄰扢捤慣㤱㥡㤸戵挵戶㘰㡤扣〰㘲搵挹㠸㔵㜹づ晦㝤㠴㥤慤㠸㈴挴㉥㜴㠹摤㡦扥㄰㕢㘹ㄳ扢㤸挴ㅥ㠴ぢ㡦㜶㄰摢㘶搶㐸㑤捣摡㘲㍣㤷㥢ㄷ㐰㉣㥡㡣㔸戹攷昰摦ㅦ搸㜹ㄲ㤱㠴搸㤵㉥戱㘷搰ㄷ㘲换㙣㘲㔷㤳搸㜳㜰攱搱づ㘲捦㥢㌵㔲ㄳ戳戶ㄸ㑦攵收〵㄰㍢㉡ㄹ戱㈵㥥挳㝦摦㕦攷㔵㐴ㄲ㘲㥢㕤㘲㙦愲㉦挴㡥戰㠹摤㐸㘲㙦挱㠵㐷㍢㠸敤㌰㙢愴㈶㘶㙤戱て戰㐶㕥〰戱㠵挹㠸㉤昰ㅣ〹昷昳摤㠹㐸慤摤捦搷晡㤳戸摤㤱㌴慢㠲㐵扢㥤㉢摣㘱㥥慥㐵昱㜶㘵㔵㤵搴㍤㜷挱㑤㌷敢昰㐷㘹㘷攱㉥戳戸搵㘶㐹愵昷㠷づ愷攳敥戳扣㠷愱戹慤愳㤶ㅥ㔷づ㔵捣慤挳㝤ㅥ㍢㔵㑣㡦攱敥挰攵搹昸愳㥡昵昵搱扡㥡晦㠵㍢㜲愲ㄲ㥤扦㌷挷攲摥㡢㌳戰〸㥣搵摤㈹㙥㤶摡愲㠷昹㕢戳改扣㔷㘷挷㙥ㄴㅣ扡ㅤ扢㔸攲慦ㅢ捡慤晢搰愶慢昹搸搸㙥㤵捦〹㘹扦捡散搳搲昱户㠹戰愶㥣㠲㤶慢ㄸ㌰㘱㝤㌷㠷㜸捦㐱㌱㘹㔹㍣㉦敥愷挸攲㝣晥愲㌶捤昷㜷㘳㍢㜷㌶挵昳捣愰㜸㕡㥡晢㔲攸㥥㌶㑣㜰㔶攰〴户㈶㑥昰摥昸〹㉡㥥摦收㈴捤愲扥㌱㘹敦㙦㐳摡㈹㠱㘹ㅦ㑣㑣晢㤰㉦㉤捦㍥挷愵攵㈹㕤㘱晢愷㌶愴㥤㄰㤸昶搱挴戴㡦晢搲昲摣㜰㕣摡㉣〰㈴敤㤳㙤㐸㝢㔰㘰摡㍦㈷愶㝤挶㤷戶ㄳ晡㜱㘹扢㘲㐰搲㍥㠷㐶㙢㍢摦昰挰戴㉦㌰〷慦㝦戴散㝣㉦㜲愸㘵攷㔳摤搱㡦㑢摢ㄳ〳㤲昶㈵㌴㕡㑢㥢ㅦ㤸昶㙦捣ㄱ㥦昶㔵づ㔹㘹㜷㐷㍦㉥㙤㍦っ㐸摡搷搱㘸㉤敤㠰挰戴㙦㌲㐷㝣摡户㌸㘴愵摤ㅢ晤戸戴㜹ㄸ㤰戴㙦愳搱㕡摡晥㠱㘹摦㘱㡥昸戴敦㜱挸㑡扢㍦晡㜱㘹て挴㠰愴㙤㐲愳戵戴㝤〳搳敥㘴㡥昸戴ㅦ㜱挸㑡㍢〴晤戸戴㈳㌰㈰㘹㍦㐱愳戵戴扤〲搳㝥挶ㅣ昱㘹扦攰㤰㤵㜶ㄴ晡㜱㘹挷㘱㐰搲晥ㄳ㡤搶搲㍡㠱㘹晦挵ㅣ昱㘹晦捤㈱㉢敤㜸昴攳搲㑥挶㠰愴晤〶㡤搶搲㠶〳搳㝥换ㅣ昱㘹扦攷㤰㤵㜶㉡晡㜱㘹㘷㘳㐰搲晥㠸㐶㙢㘹㌳〳搳晥捣ㅣ昱㘹㝦攵㤰㤵㜶㉥晡㜱㘹ㄷ㘲㐰搲㉡摣㘱挴摣㡣挵㝥㠷捡㔴扦㝣ㄷ昴づ㤵〱扣㉦㔹ㄶ㠷慣㘴㡢晤挹㡥㌲挹㍡〱搹ㅡ挷敦〲搳敡挴戴㥤㝤㘹㑢晤㘹愳㈶㙤搷㌶愴晤㉡㌰㙤昷挴戴扢昸搲㉥昷愷慤㌶㘹㜷㙢㐳摡捦〳搳昶㑣㑣扢扢㉦㙤慤㍦㙤㠳㐹摢扢つ㘹㍦っ㑣摢㈷㌱㙤㍦㕦摡戵晥戴挷㥢戴㝢户㈱敤扢㠱㘹㜳ㄳ搳敥攳㑢扢挱㥦昶㘴㤳㌶慦つ㘹户〷愶摤㍦㌱敤㐰㕦摡㔳晣㘹捦㌲㘹〷戵㈱敤㉢㠱㘹て㑣㑣㍢挴㤷昶ㅣ㝦摡ぢ㑤摡挲㌶愴晤㑢㘰摡㘱㠹㘹㐷昸搲㕥散㑦㝢愵㐹㍢慡つ㘹㥦づ㑣㍢㈶㌱敤㔸㕦摡慢晤㘹㌷㥢戴攳摡㤰昶戱挰戴攳ㄳ搳ㄶ昹搲摥攸㑢㥢㜵㈷〶摡晣ㄵ㠱㐵㉢扢攱换㔴ㄵ敥昰㠴扦㉢挱扦㑥㌰愸ちㅦ昰摢昰挷㈰㈶㘱㈲㡡㥦敡ㄹ㐳ㄷ戳攷㝤攴㔲㕢㌱捡㘹攸挹ㅣ扤搷㘰愶搸ㄸ㝥ㄴㄶ捣㔴㡥㍥㘴㌰搳㙣っ㍦户ち㘶㍡㐷昹㤱㔵㜲捤戰㌱㝦㌶㤸㤹ㅣ攵攷㑢挱捣戲㌱㉦ㄸ捣㙣㡥扥㘸㌰㜳㙣っ㍦扥㐹慥戹ㅣ㝤搵㘰收搹ㄸ㝥搶ㄲ捣愱ㅣ攵挷㉣挹㌵摦挶扣㘳㌰㈵ㅣ攵㘷㈲挱㉣戰㌱㍢つ㘶㈱㐷㍦㌲㤸㐵㌶㠶ㅦ㌹㈴搷㘲㡥㝥㘱㌰㠷搹ㄸ㝥㍥㄰捣攱ㅣ攵㐷〳挹㜵㠴㡤昹搶㘰㡥攴㈸摦挷〵戳挴挶晣㙣㌰㐷㜱昴㔷㠳㌹摡挶昰つ㔳㜲㤵㜲㤴敦㤵ㄲ㘷愹㡤攱扢㥢㘰㈲ㅣ攵ㅢ㥢㘰㤶搹ㄸ扥ㄵ〹愶㡣愳㝣ㄷㄲ㑣戹㡤攱晢㠶㘰愲ㅣ攵㕢㠶㘰㉡㙣っ㕦攴〵戳㥣愳㝣㝤ㄷ捣ちㅢ挳㔷㘴挱㔴㜲㤴㉦挶㠲㔹㘹㘳昸昲㈹㤸㔵ㅣ攵㉢愷㘰慡㙣っ㕦敢〴㔳捤㔱扥捣〹愶挶挶昰㠵㐹㌰戵ㅣ攵㙢㤲㘰㔶摢ㄸ扥㡡〸收ㄸ㡥昲〵㐴㌰㜵㌶㠶㠷扣㘰㘲ㅣ攵搱㉥㤸㝡ㅢ㈳㠷ㅥ㡦扡〶㡣㥡挵攱㈱㈸攷㡤搶愰㠱㕡ㄹ㌹昸ㄲ㔰㍣〸〵搵攸愲攴昰㈳㙡ㅤ晡㘶㜱㜸ㄸち敡㔸ㄷ㈵〷㈰㔱㜱ㄹ㜹㈰ち㙡扤㡢㤲㐳㌰〱挵㐳㔱㔰扦㜱㔱㜲㄰ㄲㄵ㤷㤱〷愳愰㑥㜰㔱㜲ㄸ㈶愰㜸㌸ち敡㐴ㄷ㈵〷㘲㐲㐶ㅥ㤰㠲摡攸愲攴㔰㑣㐰昱㤰ㄴ搴㈶ㄷ戵㄰晦㠹搶㜱ㅣ㜹㔰ち敡㔴ㄷ㈵㠷㘳挲扣㜸㔸ち敡㜴ㄷ㈵〷㘴㐲㐶ㅥ㤸㠲㍡搳㐵挹㈱㤹㠰攲愱㈹愸戳㕤㤴ㅣ㤴〹㈸ㅥ㥣㠲㍡搷㐵挹㘱㐹搴㜹攸㥢挵攱攱㈹愸昳㕤㤴ㅣ㤸㐴挵㜱攴〱㉡愸ぢ㕣㤴ㅣ㥡〹㈸ㅥ愲㠲扡挸㐵挹挱㤹㠰攲㐱㉡愸㑢㕣㤴ㅣ㥥〹㈸ㅥ愶㠲扡捣㐵挹〱㑡㔴摣㍥挱〳㔵㔰㔷戸㈸㌹㐴ㄳ㘲昱㔰ㄵ搴㔵㉥㑡づ搲㠴㔸㍣㔸〵㜵㡤㡢㤲挳㌴㈱ㄶて㔷㐱㕤敢愲攴㐰㑤㠸挵〳㔶㔰搷扢㈸㌹㔴ㄳ㘲昱㤰ㄵ搴つ㠲㜲㡣攴㡡挷愷㥣搰㍤ㅣ㙦晡㉣㘲㥢㠸㜵戳昱㈷㉦㜸㐸㡡攳戰㜸㠷㘳㔴㔱㍣ㅣ〵戱㌸ㅥ愱㜸〴㡡㘳㤱捦挱㠳㑥ㅣぢ㝤づㅥ㘷攲㔸攰㜳昰搰ㄲ㐷㠹捦挱愳㐹ㅣ昳㝤づㅥ㐰攲㌸搴攷攰㌱㈳㡥㜹㍥〷てㄳ㜱捣昵㌹㜸㘴㠸㘳㡥捦挱㠳㐱ㅣ戳㝤づ敥晦攲㤸ㄵ敦㜰捣㠱愰戸敦ぢ㘲㘶㍣㐲㜱㜷ㄷ挷っ㥦㠳㝢戸㌸愶晢ㅣ摣愹挵㌱捤攷攰㝥㉣㡥愹㍥〷㜷㕤㜱㑣昱㌹戸户㡡㘳戲捦挱ㅤ㔴ㅣ挵㍥〷昷㐹㜱㑣昲㌹戸ㅢ㡡㘳愲捦挱㍤㑦ㅣ㐵昱㡥捥晦て㘸搳㤰挷</t>
  </si>
  <si>
    <t>㜸〱捤㕡ぢ㜰ㅢ搵ㄵ摤㈷㕢戲搶ㅦ㈲昲晦㤸㈰㈰㄰挰㠹戰ㅤ㥢㌸㠴㤰搸㜲散㤸㌸㡥㠹㥤捦愴㌰㘲㙤慤㉣挵㤲搶搹㤵敤ㄸ㕡ち㤹戴愱挵〱ち㠵㘹〸㘵㐲㕡晥㄰㍡戴㈵㥦戶㝣㐳愶㔳晡㠱㌲っ戴晣㤲㠱㈶㈵搰㘱㠶搲㑥㘷㕡㐸敦戹扢戲㝥㉢㤱愴改っ㥢散昵㝢敦扥㜷摦摤戳敦摥㜷敦搳㑡㐲㤲愴攳㜴攱㉦慥㘲ㄴ㉡扢㐶㡣㠴ㅡ昳昹戵㘸㔴敤㑤㐴戴戸攱㙢搴㜵㘵愴㍤㘲㈴㡡愸㠳㉢㄰㈱扥攱っㄸ㤱敢㔴㜷㘰㐸搵つ敡攴㤴㈴户㕢㜶㄰摦㙤摤㥥㘴㐵挶㈸戹ㄸ㠴㝡㐹戲ぢ愴〴〴㕤㘵ㄹ愴㤴㐸㜹ㄹ㤱㙥㝦搳捡㥥つ㌴㜱㔷㐲搳搵㌹摥㌵愶昸㐵㌵㌵扥ㅡ㕦㝤昵晣㕡㕦昵ㅣ慦㝦㌰㥡ㄸ搴搵㐵㜱㜵㌰愱㉢搱㌹摥捥挱㥥㘸愴㜷戹㍡搲慤昵慢昱㐵㙡㑦昵扣ㅥ愵慥愱愶慥扥㍥戴㘰㐱㐳㜹㌹㐹敥昴㌷㉤㔳愳〳㈴敦㜴㐹慤㈰愹ㅤ晥愶㑥㕤つ㥤㉥㤹㑥㘰㔵搳慣昶㐶〰慡慡敡㤱㜸㥦捦摦㐴晦搳㔰愱摡㝣摦捡慥㉥㌵㙥㐴ㄲ㤱愱㐸㘲㠴㜱㡤慤散敤㔹愳㐴〷㔵㔷㡣㔵㜲挷搶㈸㝡㠷ㄲ㔳㉢㘲慢つ㜵㤵ㄲ敦㔳㔱㜳挶㕡〷㈳挱㘲㝡搹㐵ㄷ搹㑤㘴㠱攴㕢改㙦昲㠷ㄵ㍤挱㈲〱攰㈵㜶扤㜹㈶㕦㥡㉡㍣㠶㕢〱㡦㈸戳㤶ㄳ收挴晢㤵捦〰ㄹ㐷挴攵㈱㌲㈱㙤愴㤷㠷㝡ㅢ㐴昱㈷戴㈸戳〷㍡〲㡡㈳搰攳〸昴㍡〲㐱㐷㐰㜵〴㐲㡥㐰㥦㈳㄰㜶〴㈲㡥挰〶㐷愰㥦愴㈵㉦㜷㐹㠹挳扡扣慢㠷攵扥敢㐶㔷㙣摤搷昰攰っ昷ㅤ㈴㥣㍡昱㠲ㅣ㑦〵㜹〲ㄱ搷㐴㈲㌶㡡搴ち昱ㄱ㈹〲㘵晡敦㍡㝣挱挶昸ㄳ㙤捦晥㘷㝦敤敥㝦㕤㔲㈵〰㌸㑢㤹っ㈹㔳㈰㘵慡扤㤴昹㐲ㅣ戵愴㍣摦㜰昵捣〳捡㙢㉤摦㕥户敡㤶㥢晤㤵晤〲㤶挰㔲愶㐳捡っ㐸愹戴㤷㔲㈳挴晢㤶ㄴ昷㤱搶ㅤ㜳㕤㤳摡㙦㥥戹昰摡㐷摤捦〶〴㑣㠹愵捣㠴㤴戳㈱挵㑢挴收㠹敡㠴㜸捦㤲㌲晥㥣攷摥㙤㥦戴扦昱㠱㐹攷ㅦ晦攸㐵攳㤸㠰㉤戲㤴㜳愹㈰㥦㐷挴㌵换㕥㑡扤㄰㙦㔹㔲㈶㜸捦㜸晥昹㝢㍥㘹㝦㕣愹㍢昶㤷㐵敢㐷〵㡣㤹愵㕣〰㈹戳㈱攵㐲㝢㈹昳㠴㜸挳㤲昲挵㥢㉦慢摢㡥㑣㙥晡搶扥慦㕦㝦慤愷昳㍢〲摥㠰愵㕣っ㈹㔵㤰㌲挷㕥捡愵㐲扣㘶㐹戹㝥昳挲昱㍦㤲摥㘹摥敡扡散㠱〳㥦晦昴敥㜲ㅦつ改愰㔵散敢㔰ㄳ愷挹攴㥤㔸扤㈷㘷㌵捥㤸㘹㜴捤慡搱㉢挳㈲摢攲㐱㜵㤳㡢㑡㘴愹攵㌱扦ㄶ㑦愸㥢ㄲ捤㑡㐲㈹㠹㜵㉡扡ㅡ㑦挸搴愹㡡㐷㤹㈵㡣慣攰戶攴攸㔲慢㐶ㄲ㍣㕣㑣㤳㔲挶つ愶㈴㐱づ扤愸搸愴㙥㤷㥤㘷㕦愶ㄸ攱㠴搲ㄳ㔵㘷㘵ㄹ㌷㜰㈳㝦戲㍡ㄱ㠹ㅡ㍥ㄲ搹慡㙢㠳〳㐰昴㜴挹㠱㐷㤱攱〲㕣搵㐴㜸ㅦ挲㕦㥡㘰㠹㕣㐳㝦㑡㤹㈹㠳㐹㉦昸㌸㌸㈹㕥㜹㍤㔵㐸挵㘶㉤愶㐴攲愷改攵㤶㕦㑡㐲慦戲晣㔵戳慥っ㤳敦㑤㠹愶㡤〷晦扥㝣昳愱扤㈷㔴ㅦ㥡ㅦ慡愹〹搶㔷㉢昳ㄴ㈷㥣摤挹晡㑥戸愴昲搸摡㐸㍣愸つ戳㌳ㅤㅦ㈳㑦挹づ戲㝢㘴㐰攵愶昲㔰户愲昷愹攴愰昵戶收㠹㈱扦愶敢㙡㔴㐹愸㐱㙥挰㜶㍤㈵戳搱㘸搱戵ㄸ摡㉢㥢ㄴ㐳㑤㌹敡慡㤰㌹㔱㤳㌶ㄸてㅡ㌳散㤹㕤〹ㄲ㍤㍤㥢㤷ㄲ㤲㌳慣㡢㌶㉦搵㘰㑤㘷㘶て攳挵摦戸㈹㘲戲捦捡㘲搳昶愵昵攴攷戶攸敡挶㌱㙥㡥㐶㡤ㄴ戳っ愹攰攷㍣愵挹㌲昵愲捤㐶㌳搴㌸慢㔷ㄵ敢㡣昴昶慢㝡㤷㡡㠸㐷つ昲愳㑥〲㑢㈵㝢散㔵㡤慡㤵㠰㥥昶捦攰戹改慤愱愵㥢ㄲ㉡㔹㜳㤰昴愵戸㈲㌱搲つ㑢㥡㥣搱挵㥣㤳ㄸ搳㌲㥡㕢戴摥㐱〳㔶慢㙢搱㑣㑥㘳㜰㐸愱㌹㠳㉢戴愰㕡㕣散㈸㤲㡡愵㘲㕣ㄲ敤搷㐵㘴捡搵㔹㠶捡挱〱㘴ㅢ改扢㜰摡捡挱㌶㍣敦㠴〶㘵㉥㉦㡣戳㜳ㄹ㘳挱愰㤸㥡㘹㉢扥㔵㠴ㅥ愱ㄴ㔵㘱㐸㡥㙣㡦㤲愶㘸㙡搵㘰ㄲ㕢㝦㙡㍥㔱ㅡ㘶㔸户攸㝤㘱晥㐷㘱戱㘳㉢攳晦摢搹攱㤸㘰㍤晤搲㈱昲搹换㤴㜸㌰慡敡㠵昱㠲㐶昲㝣㤰〶㤰〵㐴㑡㈵攷㐱昲㙥㜹㤱㐴戴㈲㌶㠹ㄱ攷㜰㈴㤸〸扢挲㙡愴㉦㥣愰㌶ち戶摤㙥挰散戵㙥ㄷ㐵摢攵㜴ぢ㜹㈱戵挸㤷ㄳ㈹㉤㉤㤵搸㝦扡㑡攵㉢戸㉥〹〴㍤ㅣ㠱挱挱攴㍡搷㐶㜴㤳ぢ昰〴〲㈶㌸㌴㜹㈹㐸ぢ㐸㉢㤱㔲㐹散愵攷挰戳㈰㤶挱㝤㌹㘹搳㑢户㈴户㠱㕣㐹㈴㕤愳㜶慥㑢〲〱ㄴ㙢㠴昸㈹㔷愳㤵攸㈶ㄷ攰〹〴㕦慣㔱ㄷ〴㜴㠳慣挶㈰㐹㍣㙡㘹㜴㠸慡戸㔳ㄸ慤愵㥡扣㡥㐸扡㐶敢戹㉥〹㈸捦ㅡ㈱ㄶ换搵攸ㅡ㜴㤳ぢ昰〴〲㌹搶㐸㠱㠰ㅥ㤰㕥っ㤲挴扤㤶㐶昷㔲ㄵ㜷ㄲ㈳㈱慢攸ㄵ㐲慦戴户ㄶ收扡㈴㄰搸戱㐶㕥㉡攴㙡㠴搰户㔴㉥挰ㄳ〸ち㔹㈳つ〲〶㐰㌶ㄲ㈱㡤㙥戵㌴敡愰㉡敥愴㐶㤲㙣愰ㄷ搶㕡扡㐶㐳㕣㤷挴戹昴㤷㌵㐲㡣㤸慢搱〸扡挹〵㜸〲〱㈶㙢昴つ〸戸〱攴㥢ㄸ㈴㠹ㅢ㉤㡤㄰㘲敦愰㍢昵搶㙥㐲慦捤攸㤵㠶搱ㄶ慥㑢〲〱㈷㙢㠴㜸㌳㔷愳慤攸㈶ㄷ攰〹〴慢慣搱㉤㄰㌰ち戲つ㠳㈴愱㕢ㅡ搵㔱ㄵ㜷ㄲ㈳㈱摦㠶㕥户愳㔷㥡㐶㜷㜰㕤ㄲ〸㕥㔹㈳挴慥戹ㅡ摤㠵㙥㜲〱㥥㐰攰换ㅡ㙤㠷㠰㝢㐰〰〸㘹ㄴ戴㌴㝡㡥慡戸㔳ㄸ晤㤰㙡昲㝤㐴搲㌵摡挹㜵愹ㄸ㜱㤵㥤㡢ㅡ㡢〲㑢搰戱㕤㔳㠲㉤㑡㉦攵摦㈵㔶昶敤昶㙢戱〱㡡㑤㜵て㝡晡㘹㘷愲ㅤ㙦㈸ㄲ㔴㜵㌷ㅡ扡攸㈰愰㤸㤲㙦挳挵晢㍡㉤㥣愲㈲挹改㉣㜳摢捤搵㤶㤴㌵换昲㥦改〷つ㙤㌹昲㍦扥慡㘱㌱㥣㐸㘹㈹㈷〴昷㔳㔱摥㐵挴〹㍦㝡搲㝢㈱搰㥣ㅣ敢ち㙢挳换挸㤱慡㠶㤹摣ㅡ㝥㍤㤲㤸㤲摢㑣㐱戴ㄲ㥢挶敤慤扡㑡攱㡦摥㑤㔱〰㍦㈳㐶㑣户攵昰愰改扣ㄵ愵㙤挲㔵愱㌵ㄱ㜵ㄸ愱摢搹戹㉣捡捥晤㠳㐶㐲攳㤸㝦㘶㉥扦㔹敢搰ㄲ捤ㄱ㘳㈰慡㡣捣戲㘱㥢㥣戵㘱㌵㑥㤱㡢㑥〱捣㤷㜵搲〶〶搴愰㡤㡥㕤摡愰摥慢戶㌵㝦ㄵ㘲ㅦ㝡㔳收㈵㌸散ㄱ㙥攱㜲〸扡㑥㙤摢ㄵ搳㈰散晡㠹扢㕢て㕦户㘵戱㡢㠲㈹㐱〶㐲㐶敢挴㔶㝣㉡攱ㄱ㌲摤㡡㡣愰㝣ㄲ㡥㔹㔶搰搱㔴㘴㈰慡㌶㈹㍡㉤㙣㑤㌷攴㔸戲㘸㉥扣戴〳て搳㕡扥ち㘰㔳㡣㘹㐶㤷扥晣搱㔵㥡攲扣〶戱㤸ㄱ搱㠸㠹㔹㘱㈰㍦㌷㘲㤳㔳㝣㔷捥㙢挸扢㥤愴㈲㠲愶㉢ㄹ㐲㑡ㅤ〸㐸㙥愸㠵㑢㌸慦㈶㔱戶晡㈱戰㉡㡥攳㌸㡣㐷㤵昶挷戵攱㌸㙢敥㌴㤰改㐰愰㕣㔲㠲挷挰㘹〴㕦昵挹㘵㈳㌹ㄱ扢㔵搹㘱㘵㘶愴㘳攷㜵㙤㐱ちづ慤〳扡㜲ㅣ搰㜵敢㉡㥦挲戹戹〲〸㘳㙢㌵扤扦㐷搳晡㜱㑥㜰〶搷㡣戰慡㈶昸挴㉣㘶ㅥ晢愱㑣㙢扦愸㈸攳㔴捣挲ㅤ㑣攴挳扣挵戸ㅥ愴㔲㔱㡢摥换㌵戱㡥㥥ㅦ〷㔸㙦晦敥昰挳晤㑢㌷㉦扦扢收挸㤶昷㝤㝢㕥ㄷ㙢㉤挶㠶慦㥤搹攷摣搹戱攲昶挷㥥㕣ㄴ晥㙣昲㜴㈷挲挷ㄳち摤㍤搴㜱㕣㘸捣㜷㜵㐷ㄲ㔱戵㉣㘴㉥つ㤴摤㈱昲㐶㤴㔶〵㑢㐲摤㘱㝡敡收㡡㔰慢ㅥ〹㐶㈳㜱ㄵ㑢㠷ㄲ㔶㥣㉥戶慢㝤㤴㐲㜵㙡㌸挹搴攲ㄵ愱㙥㕤㠹ㅢ搸㙢攲扤㈳攳㌳㙡㙣㉤捥㔰㔳㈴㙥搰㌴散㉦㔱ㅥㄷ㠲㍢愷㌷㌷ㄸ㡢户㉡〳挶㔷挱㥣㘸㥤㈴㉦搳㜹㌹㠴挳㈱摣づ昷㈹㕡㠴攴㝡ㄴ㙦㈵捤〲㉦昳㜶㜴慥昱搲㉥㡣愳㜲㙦㈷ㅤ㙡て㔰㠱ㄲ㕦㑡扣ㅣ散散ㅣ戵㔰挱昴㜱㤷㔳改挴戳㉣㈸㕦捥㐷挸㔶晡㕢㘴户㡦㡦愵㠱㥣搵㍣㐶㘳〴㤲っ戶㥢挷慤〲㉡愲㤱〸〲㡦慣㥤晣〹㙡㤲㜷愳〳㌲〹散收㜹㝤戴㘸㈱㉥晣戴戸㡡㔶㉤扣〳㤵㈵㈱㍡愹〴〳户㌱㔰搱㑡㍤㘰愴愶㔱㍣㐵愵㤴㔱戴搳ㄸ㕢愳㔸㙥㌱㥥昱扡ㅤ慦晦散昸戲㝤攳㜶㠴昵搷㙦搸㈰㤰挱挰㌰㈴搷搳㐴㉡㌲㕥㠴ㅤ攲攲㑡敡〶搴攵㍤㐴㐴㍢〸㙡㝢慤〲〳戳㤲㉡㌶挰散㐳挷晤攸㠸㠴愶㌰㌰挸㜶ㄸ㤸愵愴㜹ち㤸㘶慡攵〳〶戹搱ㄸ㌰㌲扣㠵改㈹㤶攴〳㘵戱挵戸昱搰摢愳ぢ敥㍢摡戱敤晣挹捤愳㠷捥扡㐸慣愵戱㈶㈸㉦㔰改扣っ㔰㜸㜵昲㘹愶㤷㝥㜸〸㙡㌱敦㕡㈵㑡㜹㑡敥攲ㄴ敢㘸㌰㐳昵㈲ㄵ〴㤲㌰㠶敡㠰㔵㘰愸㤰㜳搹㐰昵ㄲ㌵换〷搱㔱㈱㔲ㄸ慡ㅥ敡挱㔰㉤愰攷㐹㐱搵㐰戵㝣㔰㈱㘹㑢㐱㠵㌵㘴㐲㔵㘷㈱㤲攳㔴攷㔹㡣㥢扥户攱愹㠱昵〳㉤㜷摥昹挲慤摦㍦戴慡㔲㤰㔹㕡㔰晤㥥㑡㈷戰㝥㐲搴㡤㐱昹〳ㄵ〴昲㐰〶攵ㄵ慢挰愰㄰㥣㜶愰扣㑡捤昲ㅦ搱㔱㈳㔲ㄸㄴ㘴㠲っ捡摣っ㔰收ㄴ〰㘵㈳つ戱〳攵挲㝣愰捣戶ㄸㅦ㝣晡愷㈵㜵〷昷㌷敦散㉦㝦㜳昲ㅢ㠷晦㈶㤰㘰㥡敢攷捦㔴㍡〱㔰㤰㡣㌲㈸㙦㔱㐱㈰ㄵ㘵㔰摥戶ちっ捡〸㔵㙣㔶捡㍢搴㉣扦㡢㡥挸㌷ぢ㠳㠲㘴㤴㐱㌹㈷〳ㄴ㙦〱㔰㤰扡愶㐰㐹ㄹ㔵㘵㍥㔰㘶㔸㡣搱挵挷㔶㝣晡昹摥㉢ㅦ昸昵㠴挳戵昷摥昸慥戸㠹㈴㤹愰ㅣ愱㔲㘵㕥愳敡散散戴戵愶捤㌴㡡㌱㍡㑡〵㠱攴㤸㌱晡慢㔵㘰㡣戶㔲挵〶愳て愹㔹㍥㠶㡥户㄰㈹㡣搱㈸昵㘰㡣㈶㘵㘰㌴戱〰㐶摢㘸㐸ち愳㤴㌵㜹昲㘱㌴捥㘲㝣晣㠳㠵㥥ㅦ㔷㔵㉥ㅦ㥤㍡戴㈷昲㑡昷㌴㜱ㅢ㐹㌲㌱晡㤴㑡㈷戰㜰㙥愷㙥っ捡摦愹㈰敥〰愱㕢晥捣㉡㌰㈸㐸挷㙤㐰昹〷㍡晥ㄳㅤ户ㄳ㈹っち㌲㜴〶㐵捥〰挵㕤〰㤴ㅤ㌴㈴〵㑡㙡攱ㄴ攷〳愵挸㘲㙣㜹㘸扣昲敦㌳㌷㉥摦昱挴㤳捦㠴户㝣㜰戵㐰攲㙦㠲昲〵㤵㘶攴㕢㌸㙤慢散搷捤㝤㌴㠸㈱挲摥㉡㜶㠲搰㉤㠳㌲㍣㔴昱摣㑦挴㐱户ぢ扦㈸㥤改㙦ち㤸挱㘹㌲挶愵晣㡣づ㍣愸㌹敤搴搶戳换ㅡ㈳ㄷㄱ㤳㝦昷ㄵㅣ㉢㔰戳散愴愶攴攵㐱捣㠰愰㕣㜶㔱㙢㐵㤱〷昱〱㈶㤳㌱㤹っ搱ㅥ㐴ぢ摣㈴愳㘹〲搵挴ㅥ㄰昴㉡〳戵㉥捦㕥㉡戰慣㜲㙡㈵㔹晢愸㥥㈵ぢㅢ㉣㌷㡤㠳慣㈹㔴ㄳ扣晦㔰㈱㔳慦〳搴挲戲挶㥢戲戰攷㘴挹㍡㤸㙣㥡〴㔹㌳愸㈶搸㙤㔳㈱㔳慦㔷愸㠵㘵㑤㌵㘵扤㥡ㅣ㤸㝡㐶㌸㙥ㄶ㍦〳戲捥愶㥡㜸ぢ㠴敥㑣㔹昰㝡㉣㙢愶㈹ぢㅥ㉥㑢㉦昸㍢㙥㍡〷戲捥愳㥡㘰慦㐰㠵捣㘷㠴㜷㘰㔹戳㑣㔹昰〴㔹戲攰ㄷ戸㘹㌶㘴捤愶㥡㘰㘳愲㐲愶㕥㌰㉡㤶㜵戱㈹ぢ〶㤴㈵ぢ收挴㑤㜳㈱慢㡡㙡㠲㔷ㅤㄵ㌲昵挲㘳戳慣㙡㤶㈵戰㠶㘰㉤慥ㅡ搴ㅢ愳㔱㙦㌲㜷㌲㕣戵㘸捡昸㘶挱㌵㡦㥡捥敥ㅥ㡥挴改㉢ㄲ搵ㅢ㔲愸㝦㙤㜵㙤㥤户㉢慣㐶愳㜳㙢㝣㥢愲挶㈶昱摢㉦捣㘰昰戹愳摢攷晥攲㥡〷㤷敦㝥敦昰慥㥢㉢㌶敦ㄷ㉦㕢㡣散㉦〸㍣挹㘵敢挴㑡㕤㘸㤷〴收晣㜸㔱㤵晤㑢搱㔲晡攵㘷〴ㄸㄴ搱戹㤹㤳㔳㥢㘲挷㘵愷㈶㉢㤹㠸㈳㄰㜷晥㠶戴晥ㅦ攴搰ㄳ㘵攵搱㔸㠲昲㝣㙡ㄷ戰㍡昶㔵㐰㕦〶摥㌲㄰ㄶ㉦攵㐳昰㠰挵挸晥㝡挲㤳㌴㔶〱晢〴㡡攲㐵敡ち搵㜹戶㉢搰〲扢戴㥢敤㤹㝣戳晤捡㘲攴㝣㘵〱挳攵㐹㝥㤹㍥挹㔲㑣〲㠳戵㥢㘴㑦扥㐹㥥戶ㄸ㌹ㅦ㘱挰愲㜹㤲㥦愷㑦搲㡥㐹㘰挹㜶㤳晣㈴摦㈴㑦㕡㡣㥣㙦㌴㘰敡㍣挹敥昴㐹扡㌰〹㑣摣㙥㤲㐷昲㑤昲戰挵挸昹㠴〳㍥㠰㈷㜹㈸㝤㤲昵㤸〴戶㙦㌷挹慥㝣㤳摣㙦㌱㜲扥昰㠰㜳攰㐹㜶愶㑦愲㘰ㄲ㌸〵扢㐹㜶攴㥢攴ㅥ㡢㤱晤〱㠸㠰搷攰㐹戶愷㑦ㄲ愶㔶㈷ㄶ㜴昶戹㄰㡥戱㕢㘰㤳㔹㍦戶㤵㤵㕤㑡㡤㡦㉣晥㜰挹つ㑢扥摢㈸戰㍡㌱㝣慣〱㉢㈹愳〱㙦㍤愳〱㙦㈸愳〱㘸㘶㌴攰挹㌳ㅡ愰㘵㝡㐳搹㝦〱扥愱晦㍡</t>
  </si>
  <si>
    <t>㜸〱敤㝤㜷㥣ㄴ㐵晡晥搴戲㌳㙣つぢ摢㐴ㄱ㐵ㄶ㘴ㄵ〵㤱㈵愳㈰㘱㤷㈴㔱㔶㐰㑣㌸散捥挰捡〶摣搹㈵㤸挰㠰㠱㌳〷㑣愰㝥㡤〷收ㅣ捥㠰㥥㘰㐲捦㝣㘲昶㑥㌱摦改㥤㝡敡愱晣㥥攷敤慥㤹㥥㥥㥥搹昰搵捦捦㍦扥捤捥㑢㔵扤㑦扤㙦扤㑦㔷㔷昷㔴㔷昷〴㔴㈰㄰搸㠹㡤晦㜳换㘵㘲昷戲ㄵ昱晡㘸㜵晦㤲摡慡慡㘸㜹㝤㘵㙤㑤扣晦搸扡扡挸㡡愹㤵昱晡㔶〰㠴收㔷㐲ㅦて捥㡦㔷ㅥㅦ捤㥢扦㌴㕡ㄷ〷㈸ㄸ〸攴攵改ㅣ攸㜷㜵㍥㤶挹㘸搶搲戹ㄴ㐰〵㜴㠸愲㌵㐵ㅥ㠵愶〸㔳戴愱挸愷㘸㑢搱㡥愲㠰挲愲㘸㑦搱㠱愲㈳㐵㈷㡡捥ㄴ㕤㈸㜶愱攸㑡㐱晦扡ㅢ挵㙥㄰昹扢㐳ㅣ㕡㌲㙥挶㠲㘳ㄱ㑤㔹㝤㙤㕤戴㕦攱ㅣ扢捤愳㡡㡢晢ㄷ昷ㅦ㌲㘰搸挰晥〳晡ㄵ㤶㌴㔴搵㌷搴㐵㐷搵㐴ㅢ敡敢㈲㔵晤ち㘷㌶㉣愸慡㉣㥦ㄲ㕤㜱㘸敤攲㘸捤愸攸㠲〱㠳ㄶ㐴〶て㉦ㅥ㍣㘴㐸㙣挴㠸攱昹摤㘱㜹㝡挹戸㤹㜵搱㔸晣搷戲戹〷㙤捥㈸ㄹ搷㝦㝡戴晥搷戲搹〳㌶㘱戲戴戶㍡㔲㔹昳㉢ㄹつ㜲㥦づ㈹㡤㤶㔷㜲攷㐷愳㜵㤵㌵ぢ晢愳搹㈹㐴㈳㌷慣晦搸㜸扣愱㝡〹晢㔱㐹戴慡㙡㔶㌴㈶㍢扤扡㌴㕥㍦㌳㔲㔷ㅤ捦慦㈶㝦搱扡㘸㑤㜹㌴摥慥㝡晣昲昲㘸㤵〳㡣攷㔵捦㠹搴㑤㡦㔴㐷㜳㤹㈸愸戶昷攱攴㡡㘸㑤㝤㘵晤㡡戶搵戳攳搱㔹㤱㥡㠵㔱㐲㠲搵ㄳㅢ㉡㉢㔴㙥㉥晥〲慤昶昶㙢㤹散㈸戴愷扡㘴㔱愴慥㕥㜲摣㠵挵㝥㔸㔷㜷㤱㈸㔲摡挵㉥㔵攸愹挵㝤㔶㔶㔹㍤㈵㕡㔷ㄳ慤愲ㄳ敥挹扥ㅥ㤰㄰㘴敦㠷〴㔳㈶ㅣ敥㈵搵挶㌹昸ㄸぢ扤㠴ち㈱扡㤴捥慥愹㡣搵搶㔵昷㥢㔶㔹㌳㙡扦挱晤愶㐵㤶㡦㉡ㅥ愸㝢㐲愷㝢ㄱ戵㈷㐴昷攲挱㝢ㄷ㤶㔴㐵攲昱捡昲挲戲㐸㔵㌴㕥㌸戱慥㜶㔹晤愲挲㠱〳〶づ搷扤〹㉥㠲㔰戹㙦攱㤰㜷㍢攲㘱㤷㌳㍦㤲㌳㝦㐱捥晣昲㥣昹ㄵ㌹昳愳㌹昳㘳㌹昳ㄷ收捣㕦㤴㌳扦㌲㘷晥戱㌹昳ㄷ〳㘳戶扣搶慤㜳㥣㙤攸㘹㍤昲搷㍣㜰㜱改搵㈷散㜵搸昸㈷㥥㝥㔹昱㈸㤷㐱㘲㙦㈴㍣つㅦ㘲㌷扣㔸昷㠱㑥敦〳ㄱ摡ㄷ愲㝢昱㠸㡣つㅦ㌴㐰昷㈵戸ㅦ㠴㔲慦愲攱㙣晣㕦愶㤶㜴摣㌲㜲挱戸ㅢ㙥搹攳挳㉦㍥晦换㡢㡡挳㡡㜸敤㡦㐴㈶慦晢搳搰〰㠸㔰㌱㐴㌶慦〳㠷改㠱〴て㠲㔰㙡慢攳戵㝣摥捦㍤㜷㕤晡改愴㡤昷㕣戴昴㤲つ昷㑥㔶ㅣ挷挴敢㄰㈴㍣㕥ㄳ㍢㘹㈸つつ㠳〸つ㠷挸扡㤳〶敢ㄱ〴ㅦ〰愱搴㘶挷敢户㐷㕦晢敦ㅤ㉢㝦㤸戶攱㥥㠳愷ㅦ㝦昴摤扤ㄴ〷㑥昱㍡ㄲ〹㡦搷〴挳愳㘸攸㈰㠸搰㘸㠸慣戱㡥搰㘳〸ㅥぢ愱搴㘳㡥搷愳㔶扥昱㥦㥢戶挶挷摣昴摡㝥换て㍣㙦昷扥㡡〷慤㜸㉤㐱挲攳㜵愸扤㕦㠷敢㔲ㅡㅡてㄱ㥡〰搱㝤攰挰㡣晢㜵攰㔰㍤㤱攰㐹㄰㑡㍤攰㜸㍤昶晡㠷㍢㤵摣㍢㙦敡ㅦ慦㍢㜸搷㐷晦昱户敦ㄵ㑦つ攲昵㘰㈴㍣㕥〷搹㕥㠷攸㈹㌴㌴ㄵ㈲㌴つ愲㝢昱戰捣㕥㠷敢改〴捦㠰㔰敡㑥挷敢㠶㌹㥤㥥扢攰戰挵攳㑦㠹扤摣户摢扡愳敦㔴㍣ㄷ㠹搷㐳㤰昰㜸㑤挴㍡㡢㠶捡㈰㐲㠷㐲㘴㡤㜵㠴㥥㑤昰ㅣ〸愵㌶㌸㕥㍦昸扥㜷攱昵㜳㔷㡦戹㜳搶昶晥换㝥㕣㝥愶㙡〳戵㜸㍤っ㠹㑣㕥攷搱搰攱㄰愱㈳㈰戲㝡ㅤ愲㡦㈴昸㈸〸愵慥㜳扣摥㌰昰挰换㍡摣搲㙥晣㐳㘷㕣昲摣愷攵㈵㔷㉡㥥㙤挵敢㝣㈴㍣㕥ㄳ扤改ㄸ攸㜴〴㈲戴〰㈲㙢㙦ㅡ慥换〹慥㠰㔰敡㉡挷敢㉤ㅢ㡦扦㙡攲ㅢ㡢㈷晤改㤲㙤搳㠷扥㔱㝤㥣攲改㕤扣挶㤰挸攴㜵㈱つ㉤㠲〸㔵㐲㘴昵㍡㐴ㅦ㑢昰㘲〸愵㉥㜱扣㥥晤搷〳㥦摥晤扥搹攳敥㝡散㤳敢晢㥥晡摥散㈰慦㈷〶昹㡤挸摥挱㝥〲㉥ㄲ捡㈳昱㝡攷㍣挴㈳敥搷㍤㑤㌵㝥㤶㥡㔰㔷晥摢㥦愵攰攴㔷㌹㑢改㙡戲㕦〳ㄱ慡㠵搸㘵晡捣㌹㠵㌳敢㙡㜹挱㔵㌸ㄳ㤷㕡㑢㜸ㅤ戹㌴慡㤷㄰㜶ㅣ㠴㔲攷㌹㍢改搸㈳摡㉦っ㕥㍢㝤摡〵户摣㌱㙡搱户㕤扡㈹㕥敦㐹搷㠸㈳攱改ㅡ㠹㠳慦㥥㠶ㅡ㈰㐲㑢㈱戲ㅥ〶㠳昴㌲㠲㤷㐳㈸㜵愶攳戵攳挰摢挷ㅤ扥㈵㍡昶㥡攰ぢ㘷慤扡昶攱昷ㄵ㉦㌰挵敢昱㐸㜸扣㈶㠶昲ㄳ㘸攸㐴㠸搰㐹㄰㔹㠷昲㐱晡㘴㠲㔷㐲㈸戵捡昱㝡昹㌳㤷㉣㉢搹㙢敥昸㐷〷散㜶敦ㅦ㈶㍤晢戸攲ㄵ慤㜸㍤〵〹㡦㔷㈷搶〱晡㔴ㅡ㍡つ㈲㜴㍡㐴昷攲〱ㄹ㠷户㐱〳昵㙡㠲捦㠰㔰㙡㠵攳昵㤲㌷㐷昴㝡㜴户扦㑣㝦㜸摢挴摤㑦敤搳昶ㅥ挵㑢㘸ㅥち晡㉣㡡戳㈱㐲㙢㔸㈴㝢㉤㠲ぢ戱晡挲挹戳㘶敡㍦㔰㝢づ㠴㔲㜱挷搴改㌷㜷㠸晣户晤㜱㔳慥扡敤㡥挷ㄶ㥤晥搱㤱㡡ㄷ攲㘲敡㍣㠲捦㠷〸㕤〰㔱攰㌲㌵㙢收捣㤹晡㐲慡㉦㠲㔰慡摡戱㜵捥攸捦愷晤敢攷〷て扥昱㤹㡥ㅦづ㕣户敡㍤挵敢㜹㈱攳ㄲ㈴㍣㘴㈴㐶愲㑢㘹㘸㉤㐴攸㌲㠸㙣㘳挲愰㘲㝤㌹挱㔷㐰㈸ㄵ㜳扣慥㝡㜰改㤰ㄹて㤵㤶㕣戱㙣㙢昱捥ㅢ㑡摦㔰㥤愱ㄶ慦㔷㈱攱昱㥡攸㙥敢㘸㘸㍤㐴攸㙡㠸慣摤㙤㤸扥㠶攰㙢㈱㤴㥡敦㜸㕤晢㑡攷㤷㜶慤扣戸㜴挳㉦捦㜷㕤扢戲㜶㠰敡〲戵㜸扤づ〹㡦搷挴㜹敤㝡攸昴つ㄰愱ㅢ㈱戲㥥搷〶敢㥢〸扥ㄹ㐲愹挳ㅣ慦挷㥣戹愶昳㐳㐳㥦㤸㝣㕦晦晢㔶敤㜵昵搳㜵㡡㕦㤱挴敢〶㈴㍣㕥ㄳ戱㙥愴愱㕢㈰㐲户㐲㘴㡤㜵戸扥㡤攰摢㈱㤴㍡挴昱摡㘳攴㝥㘷ㅤ㌲㙥晤㤴昵晤㑥㍡㌴㜲捥换敦慡慥㔰㡢搷㍢㤱挸攴昵㉥ㅡ扡ㅢ㈲㜴て㐴㔶慦㠳昵扤〴摦〷愱搴挱㡥搷戹晦昳搶ㅢぢ㉥㝣攳攰㐷㡥㍤㘰捦ㄷ攷摥ㅢ㔶晣ㄲ㈸㍤昳〱㠲ㅦ㠴〸㍤〴搱挵摤㌳㈳㌵ㄵ戵搵㠵㜳㈳㔵㡢昵挳㐴晤〹㐲愹㔲挷攴慡て摥㌹㘷挴搵㥦㑣㍦户愸㑢改㌹ㅦ㜴摦㐷㜵㠳㕡〲㜹㤴㠶㔲慦挹ㄳ昴㍤㐶㐳㡦㐳㠴㌶㐱㘴ぢ〴ㅤ昴〹㐰昴㤳㄰㑡㡤㜲扣㥥㜰昲搸㜹挷ㅤ㌰㜲捡〵ㅦ㡤㙡㝦昲㈵ㅢ㝥㔰扢㐱㉤㕥㥦㐲㈲㤳搷捤㌴戴〵㈲昴㌴㐴㔶慦〳昴㌳〴㍦ぢ愱搴㔰挷敢㤳㍦㐷戶㙤搳㈳㈶㕦愶扦㝢昲搳捥㔳づ捣㝦ㅥ敡㐳㥣敦㈲愵㜵㤱㘵昸㜶㤷晣攲㠸㙦换晣搷昸㌷㘶㝣㘱㡥つ㠹つ㡢ㄵㄷ㔷っㄹ㄰ㄹㄴ〹昶㠴搹愶㝥㌵攳㤰㥣ㅦ㥢㕢㠹㥤戴㑣扥慢敤㍥㉥ㄲ㡦㈶㑦㡡㝤ㅤ摤戸摡㠶㥡㡡昸㙥晥捡戲晡㐸㝤戴㥢㔷㤷㌴㤲㔶慤っ摦㘴愳㜱昱户㠷户摡㥣㐸㔵㐳㜴散昲㑡㕢摤摤愳挶昷搸摡〵㤹戵ㄳ敡愲挷㈵戴㘹㉤ㅡ㉢㈷㐸敡搳愲戴㔵㜶扢ち㑢ㄶ搵挶愳㌵搲扣扥搵㌳㉢换ㄷ㐷敢捡愲㥣愶㠹㔶㐸愸㥤愹㜲扥㑣昷㥤㔱㠳㐰昱昵戸愲㤷扢㌴㌶㝥㜹㝤戴愶㈲㕡㠱昶㉥㠹搶搵慦㌸㌴戲愰㉡摡㈵〵㘲晢㠴㘲搷㤴攲〹戵攵つ昱㤲摡㥡晡扡摡慡㔴捤搸㡡愵ㄱ㝣㠱慦㤸㔶㕢ㄱ挵昷敦㕣㙥〱ㄵ㘸搵㑡愹挰扥㝥㤷㕣戴ㅢ敦㉦㍢挲戵㡢扢㘳㥦㜷㑤敤㜶晤㘷㈱㍡㐴㔱ㄵ㘵㥦捣改摤㠸㌱戱㑢㌳晢㘴〶扡㘲攲㥣ㄶ搱㝤㌲愳愵㡤㠹㍤昷摢㠲㜳㜲㍡㍡搱㡦㕦㡡昳昰㈴㡣㔰㔵搱扡慣㌳㜲㡡㉤搲㕢㈱㠲㠳㜰㌴㘷㘴㉦ㄷ〸戵㕣慤〸㉥慢慣愸㕦ㄴ㕡ㄴ慤㕣戸㠸㤷㔱㤸戵换换㈳戵㘹㥢㝥ㄱ㐵晡㉦ㄴ㉦㐱㠴挳㠱搰换〴㠵挲晡ㄵ㍢ㅦ散㠵晦㥢㍦㝤㤲㠳㕡㕡愶㙢㌰户ㄶて㔶攳㜲㍢摥慡㤵㕦㤴㤳㈲昱㐵昵散㥥搹㤵戴昷㉡挵㙢㄰挱摥㄰㡤捥捥昰㌲㌳㤷㤳㔰㙤慢㑢愳戱〸愶晥攴攸㔶㤱㘰戵㍤㥢㔴ㅡ㡤㤷㙢㑥㍢㑤挶戱戲㍣㠴ㄴづ晥晣㙡昶晥攸昲晡搲㐸㝤愴㜵㌵㈶戰戰㤷㌴㐰㝤愵㤶㥤㘲捤戶㔲㘶㙡㠷㥤ㅣ㉣㔸㤲㜴㔹㘹㈳〵戶㈵ㅣ㌸㌸㕥〲慤ㅣ㤹㍤〸戴㥤ㄷ敦㈱㙦㐷㑦㥤㠸挲晣㔸挵挴㘸捤愱㉢㤶㐴攳㠴攷㠵戲㔲改㍤扣㘸㙣㐶昹㠲搹昵㤵㔵昱晥㘸㈹㘶㤴ㅡ㤶晣㥡㜶㘸㑢扦づ㘱戶攰扥攸挵㑤㡦〹㜴〵㕡㉦攵扥㤹㍦㍦㤰㐷㙢㉣搱㝢㔲戰户挲搸㑥晣㈷㥢摥㠶晦挲搹㜴挱㈲㈰㥡㌳㘹ㄷ〴㍥扦ㅡっㅤ㕡ㄷ㤵㘹挸㍣挹㠰敤戶搵㜳㙢敢ㄶ㉦愸慤㕤捣晥搴㑥㜲昱㐵搱㘸㍤愷昶摡㌸㔳㤹㌲㘵愹㔴慢㔶㈹搳㜱慥㌹挰ㅥ戰ㅦ㝡ㄷ愲敤搸慡慡㐲㘳㌱ㅥ㝡て㐵慤㌰挹ㄸ㝡ㅦ㠹ㅥ㠷攲晣㡣㌹敤㘸㘱㉣〲ㄴ愶晢〶ㄷ㤶㉤挲㘴敢㝥挵晤㤷㔷挵㤷慢㐲㤰挰㜹戳㜷㕥昸昰㡦㡢挷㥦㍡㘵㙤昱昶搳晦摥晦㠱搷㔵て㐷㤱㌶㡤搷〷㘶㜹戲搶㝦㠳㔰摤〱攳攰㠲㜴敡愶㍦㐲㕥㝦㑣戱ㅤ〲㐳㠴㤰㡥ㄱ攲㔳㍢慢昶挱晦ㅣ㈵昴㘷ㄴ㥦㐳愸扥㄰㍣㐶昵ㄷ㄰㘶㔳㥤㘰㥦扢㕥㜶摦扥㈸㑥摦㝤晦㐴㘹㔸㘷搱愹㝥㐰㜰ㄷ㙡㔲愶㐹㤲㈶㐱㉡っ挳扥〴㘸㐷㤱㌶愳戸㍦慡〹〱㍦戰㝥㙢挰晣〹昸㠹㍥晥㑢戱〳挲㐵挰㉦㜶㔶つ挰晦㐲〰搹搳散㥤㙡㈰㔲㐲〰て㜶戳愹㕦㝥㜱ㄱ㔰㡣攲㜴〲㠲挰㠷㜵ㄶ㥤ㅡ㠴㝡㝥〴㝣ぢ攳扥〴晣摢㔱愴㑤㙥づ㠵㈵㈱愰ㅤ㥢晣つ㘰晥〴㔸㔰敢昶ㄴㅤ㈰㕣〴㜴戲戳㙡ㄸっ〹〱㥤〹敡〲愱㐶愰㐸〸搸〵㌹戳愹㑦摤〴っ㐷㜱㍡〱扢搱愶捥愲㔳〷愰㥥ㅦ〱敦㘵㈲攰㕤㐷㤱㌶捦㍡ち㤶㝡戲ㄵ扤搹攴户㌳ㄲ戰ㄷ搴㝡㙦㡡㍥㄰㉥〲昶戵戳敡㈰ㄸㄱ〲晡ㄲ搴て㐲㡤㐱㤱㄰戰ㅦ㜲㘶㔳慦戸〹ㄸ㡤攲㜴〲㡡㘹㔳㘷搱愹戱愸攷㐷挰㌳㤹〸㜸摡㔱愴㑤昹㤶挲㔲㑦戶攲〰㌸㔵㥢㌳ㄲ㌰ㄲ㙡㍤㡡攲㈰〸ㄷ〱㘳散慣ㅡて㈳㐲挰㔸㠲挶㐱愸㠹㈸ㄲ〲㑡㤰㌳㥢㝡挴㑤挰〴ㄴ愷ㄳ㌰㤱㌶㜵ㄶ㥤㥡㠴㝡㝥〴摣㥤㠹㠰扢ㅣ㐵摡散昳ㄴ㔸敡挹㔶捣㘴㤳敦挸㐸挰㉣愸㜵ㄹ挵愱㄰㉥〲收搸㔹㌵ㄵ㐶㠴㠰戹〴ㅤ〶愱愶愳㐸〸㤸㠷㥣搹搴㑤㙥〲㌸㥢㥤㑥挰㔱戴愹戳攸搴っ搴昳㈳㘰㕤㈶〲慥㜲ㄴ㘹ㄳ攱戳㘰愹㈷㕢ㄱ㘳㤳慦挸㐸挰㈲愸㜵㈵挵戱㄰㉥〲慡散慣㉡㠳ㄱ㈱愰㥡愰ㅡ〸㌵ㅢ㐵㐲㐰㉤㜲㘶㔳ㄷ戸〹㌸ㄴ挵改〴挴㘹㔳㘷搱愹㌹愸攷㐷挰ㄹ㤹〸㔸敤㈸搲收攴攷挱㔲㑦戶攲㐴㌶昹戴㡣〴㥣っ戵㕥㐹戱ち挲㐵挰愹㜶㔶ㅤづ㈳㐲挰㘹〴㥤づ愱㌸㍢㉦〴慣㐶捥㙣敡㜸㌷〱㐷愰㌸㥤㠰戳㘹㔳㘷搱愹愳㔰捦㡦㠰㈵㤹〸愸㜵ㄴ㘹户〷㡥㠱愵㥥㙣挵㐵㙣㜲㜵㐶〲㉥㠱㕡㕦㑡戱ㄶ挲㐵挰攵㜶㔶㐵㘰㐴〸戸㠲愰㉢㈱㔴㌹㡡㠴㠰慢㤰㌳㥢慡㜰ㄳ戰〰挵改〴㕣〳㝣㔸㘷搱愹ち搴昳㈳攰昰㑣〴捣㜳ㄴ㘹㜷㉡ㄶ挲㔲㑦戶攲㡦㙣昲摣㡣〴㙣㠴㕡摦㐲㜱㉢㠴㡢㠰摢敤慣㕡〴㈳㐲挰ㅤ〴摤〹愱㡥㐵㤱㄰㜰ㄷ㜲㘶㔳搳摤〴㔴愲㌸㥤㠰晢㘸㔳㘷搱愹挵愸攷㐷㐰㘹㈶〲㑡ㅣ㐵摡㑤ㄳ㑥敤㘷㤹戲㐹戹㑦搱〹搸㤴㈹㥢晣搸㠴捡慡晡㘸㥤㝣㉢㉦㠸攱㍦㝢扤㠰攴摢㜲㈶愲㉥㔲㙥摦㠹敦ㄴ㉢挱㘴〴ㄶ㈸搴慦㐸㑥捦愴㑤㠶搸㜳〵晦㌷攵昳扢㥢昲㤱〹㥦㤴㘹㥦㉣㔳㉡攸㌴㥥㐹㥦散㘰㔷㈷敡㡥㉥收晢〵㑤扡㔴㝦㔸㑥敤㘴挴㝢扦㑤捡㉡㡣〴摥摤〹㠹ㅥ㤰㜹㉡㠸㥤㍤扤㤳戲㔲挶㘹㤷攷愱晣扦㐹㉢敦㌲㌲㝢搲敡㌱㡥㠴㡦㔳㙣愲㜸㠲攲㐹〸㌵捡ㄹ㘶晦〰昲㡥挶㘷㑢㑥㈰昰つㄵ晡㈹㘲㌶㔳㙣㠱㜰つ戳捦㈰ㅢ㝡ㄶ愲挰摣扣㉤戴扢㔸㌸愰㙡㘰㐲㠶摥攷㔸昱㜹㠸晣慤㄰搳㈷㐵慢㌰〱晡㙢㉤摤ち㉥㠱㥢散㔳㌶攸㍦ㅤ〰敡㔲㕤戶愲愶㝣㔱㕤㙤つㄶ搰㜱㈶㘹㙣㌹搶㍥挵㔵㈴㔴㍤戵戶愴愱㍥㔴㍤愹ㄲ晦攵㔷捦㡡㉥㠹㐶敡㑢㌰挱㡤㘹慡愹戸㈱㉤㤳㔰㤳㉢㤶晦晦㥣愴ち攴㈲㠴㠰〲㠱㘶㥥㑡㜹㡦㕥㝢扡挸愱户㝦㘹㉤搶搱㐵㘵〹㈱㘹て㠵㌰攱昸㍢㥣㠵ち攸ㄷ搰扡㙢扥搹㜸㘰搱晡㍢㜶㍡晦慦挴ㄷ㝦搹㜴㉤㠲㑥㍦ㄳ扦㠴㉡攱㙣㍡㜵ㅣ敡㈵捥挴愱搷㐹ㅢ扡㠱㍤㉤戱㑦愶戳㜱ㅦ㐷㤱㜶㜷扣ㅥ搶㝡戲㈵摢㘰㐸敤攵ㅣ㈷㈸㐸摤昴摢㔰敢㜷㈸摥㠵㜰ㅤ㈷敦摢㔹搵㠰ち㜲㑣㝣㐰搰㠷㄰㙡ㄹ㡡攴㜲攴㙦挸㤹㑤㜵㠷㡦挴扣捣㔲ㄴ愷㤳戰㥤㌶㜵ㄶ㥤㕡㡥㝡〹ㄲ㕣昳㌲ㅤ㌳ㄱ搰挱㔱愴摤愸㍦〱㤶㝡戲ㄵ晦㘴㤳慤㡣〴㜰戸搰晦愲昸㌷㠴㡢㠰敦散慣攲㝤㝣㈱攰㝢㠲晥〳愱㑥㐶㤱㄰昰〳㜲㘶㔳慤摤〴㥣㠴攲㜴〲㜶搰愶捥愲㔳㉢㔱捦㡦㠰㥦㝦捥㌰㉦戳挳㔱愴慤ㄹ㌸ㄵ㤶㝡戲ㄵ挱ㅣ㌴昹㈷挰晣攷㘵㕡㐳慤昳㈸戸㈸搷㐵㐰ㅢ㍢慢㑥㠳㤱㕥㌴㤴㑦㔰㕢〸戵ㅡ㔹㈱愰ㅤ㜲㘶㔳摦挰㐷愲〷㥣㡥攲㜴〲㍡〰ㅦ搶㔹㜴敡っ搴昳㈳攰㤳㑣〴㙣㜷ㄴ㘹换ㄷ捥㠲㈵㕥㤴敡摤搸敥摤㈹扡㔳散㐱搱〳㐲㝤攰㤰昲〱㔰晣㈴㑦ㅦ㍤㠹改㐵戱㈷㠴㡢㤴㈲㤶昱昴㠱搳挵搹愸搲ぢㅦ扤㌷ぢ晢㐰㈸㥥㠸㌸扣㘳搵㈲戲ㄹ挷㠸㌵㐴愴捤㍡昷㐳㤵戰捥愲㔳攷愰㕥㤲ㅣ㡥ㄱ昶昸昰㐲㈶㜲戶㍡㡡戴〵ㄹ攷挱㤲㤰㌳㠴㙤ㅦ㑡㌱㡣㘲㌸挵〸〸戵挵㈱㘷㜷㜸改ち㜴㠷摣㐰攰㌱㉡昴㠱挴㡣愴ㄸ〵攱㈲㘷㌴换ㅣ㜲捥㐷㤵㕥昸攸戱㉣ㅣ〷愱㉥㐴搶㈶愷〴搹㡣攴㕣挰㕡㘹攴㑣㐰㤵戰捥愲㔳ㄷ愱㥥ㅦ㌹昷㘴㈲攷㙥㐷㤱戶挲攴㔲㔸㤲㐳㘷〶㥢㝤愷㐳〴ち㔳㌷㝤〸搴㝡ㄶ㐵ㄹ㕢㤷㥣搴㥥㙤㘷搵㕡㔴攸㠵㡦㥥㐳搰㕣〸㜵㌹戲㜲攸ㅣ㠶㥣搹搴捤昰㤱㌸㜴㉥㐳㜱㍡〱㐷〲ㅦ搶㔹㜴敡ち搴㑢ㄲ昰ㅥ慤扣て愱搶㘷㈲㘰㥤愳㐸㕢散挲㜵㉣㐲㐰㤴㑤扥㌲㈳〱ぢ愱搶㡢㈸㉡搹扡㈴〱㡢敤慣㕡て㐳扤搸㤰㉡㠲慡㈱搴㌵挸ち〱㌵挸㤹㑤㕤攸㈶攰㙡ㄴ愷ㄳ㔰〷㝣㔸㘷搱愹㙢㔱捦㡦㠰㌳㌳ㄱ㜰㠶愳㐸㕢㜷㜳㍤㉣〹〱㈷戰挹愷㘷㈴攰㈴愸昵挹ㄴ㉢搹扡㈴〱愷搸㔹㜵〳っ昵挲㐷㥦㑡搰㘹㄰敡㈶㘴㠵㠰搳㤱㌳㥢㍡挱㑤挰㡤㈸㑥㈷攰㉣攰挳㍡㡢㑥摤㡣㝡㝥〴ㅣ㤷㠹㠰㈵㡥㈲㙤〹搰㐶㔸ㄲ〲㉥㘴㤳㙢㌲ㄲ㜰㌱搴晡ㄲ㡡㑢搹扡㈴〱㤷搹㔹㜵ぢっ昵㘲㌸㤷ㄳ㜴〵㠴扡つ㔹㈱攰㑡攴捣愶愲㙥〲㙥㐵㜱㍡〱㔷〳ㅦ搶㔹㜴敡㜶搴昳㈳攰㠸㑣〴ㅣ敥㈸搲㔶㈳摤〵㑢㐲挰捤㙣昲㘱ㄹ〹搸〰戵摥㐸㜱ぢ㕢㤷㈴攰㌶㍢慢敥㠶愱㕥っ攷㜶㠲敥㠰㔰昷㈲㉢〴摣㠹㥣搹搴っ㌷〱㕣摤㤴㑥挰扤挰㠷㜵ㄶ㥤扡て昵晣〸ㄸ㥦㠹㠰㔲㐷㤱戶㌰敡〱㔸㤲㌳挴愳㙣㌷㐷㝥晤㌸挵㈶㡡㈷㈰搴㐱づ㈹㥢㠰攴㈷㜹晡晣㌳㌱㑦㔱㙣㠶㜰㤱昲㌴换㥣㌳挴㠳愸搲ぢㅦ晤㉣ぢ㥦㠳㔰て㈳㙢㥦㈱㥥㐷㌶攳ㄹ攲㈱搶㑡㍢㐳扣㠸㉡㘱㥤㐵愷晥㠴㝡㐹㜲㤲愷捦扥㤹挸搹搷㔱愴㉤昱㝡っ㤶愴㜷晣㤵捤敥攳㄰㠱挲搴㑤㙦㠳㕡扦㐵昱㌶㕢㤷散ㅤ敦摡㔹昵㌸㉡昴挲㐷扦㐷搰晢㄰敡〹㘴愵㜷㝣㠰㥣搹㔴て昸㐸㥣㈱㌶愱㌸㥤㠰㡦㠰て敢㉣㍡昵㈴敡㈵〹㐸㥥㈱㍡㘷㈲愰㤳愳㐸㕢㙤戶ㄹ㤶㠴㠰慦搸攴づㄹ〹昸㈷搴晡㙢㡡㙦㈰㕣〴晣摢捥慡㉤㌰搴ぢㅦ晤㉤㐱摦㐱愸㘷㤰ㄵ〲扥㐷捥㙣㑡扢〹㜸ㅡ挵改〴晣〴㝣㔸㘷搱愹㘷㔱捦㡦㠰㥤㍢㌲㕣㕥晦攲㈸扣ぢ摦㠲㕢㘱愹ㄹぢ㤶摡戰挱戱㌹㤵搱㘵㕣㘱搱㉥㠶㈷㤲㑡ㅡ攲昵戵戲ㅣ愴㙤慣戴㜶㝡㙤㝤㘹㘵㝣㐹㔵㘴㐵挷㤸㤳㤸扢㈸㕡㠳挵㕡㜵㔸戳攵㈹慢㕤戲㈴㕡愱㘳㘵戵つ㜵攵搱挹愵扦㠷挵㕣㠸て扢㑥搶㜱攵㈸㙣㉤㕢㥦ㄴ㐰㑤昴ㄲ㙣㠱攰㡢㌰攸㕤㘶攲㥡㤱㑢㑥晥㕡〰ㄶ㈴ㄹ㍤戴戲扥㉡摡㈶㈶㝡㐹攷挵挰㈲㔶挰㔵戴㡥ㅤ扡〸换㉦㑡摢挶㈶搶㔵㔶㔴㔵搶㐴戹㌳㌰愱捣挷扣愶㐶ㄷ㘲戵摢捣摡㜸㈵ㅦ㐱㙢ㅢ㍢戴㉥㔲ㄳ㕦挲㠵㍢攵㉢㍡愴攴㘴㜲㈵ㄸㅢ㔷㔹ㄳ㠷ㅢ搹㡢㑣ㄷ挴捡ㄶ搵㉥挳搳㤰つ搵㌵ㄳ㈳㑢攲扦㡢扤愲戸㕢㘴㤳㕤愳㜲㔴㑥㡥捡换挹㙢改晥〹戵㙡㠵㜵愳攸愰攵㜵搱晡㘸愱昳扣㔹㈱ち敡敢㉡ㄷ㌴㤰㍡昱㌶㄰㌲㤷㐲昶㘶㈰昸ㄷ愴戲㑣慦㜲㤲搵㔹㡤挸㤵㜶㙣㜵捡㠳ㄴ扥㡢扥ㄲて㥢㜲㘲㔵攷愲㘱昹㝣摡昰攰㠹戳㈷㈷搷愰晥慦㥥摣っ扥〴换摥㐹㉢㙦ㅦ㑣㉣昹敢っ㜰㍢扢㌳戱㡣㝤ぢ挷㈸晡〴㜳摥づㅡ㡥〹㠶㝤戵㕤㌲㌹〱慢挶昲㘳㔳㈳ぢ愲㔵㤸㥥慣㡥搴户戳㌳㥣㙡慥㡥㔴挵ㅤ㕤㐹㙤㜵㜵㠴㥤㡦ㅤ户慣ㅣ捦昰攵挵挶㌶搴搷攲戱㍦ㅤ㠳㤰ㅥ敡ㄴ㐵㤶愳㈸戲㕣㡡昲㘳戳戸〸㔶搲戴㔵扢㌰㔲㔷㔹扦愸扡戲㍣㡦ㄹ㉥㔴晤㕤昴㕡㡣㈴戹㈰搳㙣㘶㔴昱㑥㥡摡搳㠷搸摤晤㌱㠵㑢敡戸晢搱户㜳㔴〸晦㔴ぢ搷㐸㘲っ㤲㔳㡢㙥つ㙢㥣㍣㤱㐱㐹摡昲昵㑥攷㜸晡㝡㈵ㄲ㌲㑣愹㔷〸挰㐷攷〱捥〴㍦戹慦㐲㘴㕤㐰搷ㅡ㠰昰搴摡㐸挵〴摣搸慡慤㙢敤㍣㘹㥣㠷㕤换㐱愷捥攲㤲挶ㄲ慣㤲挵敡摢愵㤵ㄵ搱扡㍣ㄶ㤴㘱㈲㌸㤷㡢㈱㐳昶㍥挴㈴㘱慢㐰㌰搸㈶捦捦搷㘴㘳慢户戳㔰捣晤愴昶攴㌴晢㕦ㅥ㌲㝣㌴ㅡ㠵戰㄰〸㘶㠳㈰㌵㤳敡㌵㘴ㄹ㡦〷搰㠶㠰㝣㠸攰敢㔰㝡昷㑤敡敡㐲慣㐱搴〰攵捡㌳扡㕣昷㤸㠷㌵㠲戲㘰㌲㈸㠱戴㜱㉤㜴っ搹㙢ㅣ昳捣㠳扦愱㌲昴昲㘸㐵搸ㅥ㘹㌹つ㡥㜳㐴㈰㈷㈷ㄷ扢㍡攴扤攳㤸收ㄶ挶慡换愲戲〲㔲敤㠱㈶㠴摡愲挵㝤㜸戰挰晥㝣昷愳戰捥㐳戰㔸㈱㘷㍦ㄴ晢攴〳㠵挳搳慥㌱挲㘱㕤〰〳㠱戰摡〶㘹㔸㘱㙣攱㌰㜷愹戶挸㑡㝢〸昵㌷㘴㜹㤵攰㍡愷愹㡦㤰攵㜹㉤㄰敡〰㐸昳挷㔱昵㌱敡㜲㉣搵ㅤ改㘲㍢㔲ㅣ愲ㄲ㕤戶㌳㑡ㅢ敦戲㥦戲〶㍥扡ぢ㡤㌸ㄹ昵ㄹㄲ㈶㈰㈴㑤㍦搸〵ㄸ摤㤵挰捦晤〱扢ㄲ搰㡤㠰㉦〰㘰㕦〸敤㠶摣㍥〹㡥㕤㑦敤晡㜰㕣㍣挰㡦攴敥戰〰㤲晦改㜲ㄹ㘶㠹㑤昲ㅥ㜴搹㠳㉥㝦㐰愱㤷㘴㉥戵戳㐹㉥〴愴〵㈴晦ㄷ〶㠴攴㥥㜴挱昵㝡㈹㈴敦㠹搲挶㐹晥〵搵㠴攴摥㌴攲㘴搴㑥㈴㝣㐸㉥〲㐶敦㈵㐰㐰㝤〰㝢ㄳ搰㠷〰㜶㝥㈱㜹ㅦ攴㤲ㅤ㌹㍢挹挳晣㌸敥ぢ〳攰㤸㡢〵㡤㐷㔷㐷敥㐷㡦晢搱㈳ㄷ昶㜹㌹收㙡㍥㥢攳晥㠰戴㠰攳昶㌰㈰ㅣ敦㑦ㄷ㕣ㄲ㤸挲㜱㌱㑡ㅢ攷㤸㑢〷昱ㄷ搰〳㘹挴㜰摣ㄹ㈹ㄳ㄰捡㑣㐷ㅥ〴㡣ㅥ㑣㈰搷ㄶ晡〰㠶㄰㌰㤴〰㉥㌷ㄴ㡥㠷㈱㤷攴搸昵摣扣㑦㐷ㅥ散挷昱〸ㄸ〰挷㕣㡦㘸㍣扡㌸㍥㠰ㅥて愴㐷慥ㅤ昴㜲捣〵㠳㌶挷㈳〱㘹〱挷㕣㙣㈸ㅣ㡦愲ぢ慥㍡㑣攱㜸㌴㑡ㅢ攷㤸慢ㄳ昱ㄷ搰㘳㘸〴〹昹㜰㠹愲〹〸㘵㠶攳戱挰攸㜱〴昶昳〷㤴㄰㔰㑡〰㔷㌴ち挷攳㤱㑢㜲㥣扤ㅦ㡦昰攳㜸㈲っ㠰攳㘲㤷㐷ㄷ挷㤳攸㜱㌲㍤㜲㜹愲㤷攳㤱㈸戳㌹㍥ㄸ㤰ㄶ㜰捣昵㡣挲昱ㄴ扡攰挲挶ㄴ㡥愷愱戴㜱㡥挷愰ㅡ晥〲㝡㍡㡤㈰㈱㥦戱㤰㍥ㅣ捦〰㐶捦㈴㜰㥣㍦攰㄰〲㘶ㄱ挰㐵㤳挲㜱ㄹ㜲〷㤸〱搹晤戸扤㑦㍦ㅥ㌸㘰搰攰㐲㌹㉢ㄷ㑥挳攳づ㤵㑢慡愲㝥慣捦㠶㐹戰捥㜵㤶愶㤱㉥搶攷戰つ㜳搹〶慥㠹昴戲捥㠵㤰㌶敢㠷〱搲〲搶戹㠸㔲㔸㥦㐷ㄷ㕣㑤㤹挲晡ㄱ㈸㙤㥣㜵慥扡挴㕦㐰ㅦ㐹㈳㠶㜵㉥扤㌴〱愱捣昴散愳㠰搱㐷ㄳ挸㘵㤹㍥㠰昹〴ㅣ㐳〰㔷㙡ち敢ㄱ攴㤲㍤摢昵扡〱ㅦ搶㝤㉦㌵捡㘱〰ㅣ㜳㈹愷昱攸攲戸㠲ㅥ愳昴挸㘵㤷㕥㡥戹搶搲收㌸〶㐸ぢ㌸慥㠴〱攱㜸㈱㕤㜰挱㘶ち挷㤵㈸㙤㥣攳㉡㔴挳㕦㐰ㅦ㑢㈳㐸挸㠷慢㍢㑤㐰㈸㌳ㅣ㉦〶㐶㔷ㄱ挸㤵㥦㍥㠰㙡〲㙡〸攰㘲㔰攱戸ㄶ戹〴挷㡤昴㙣摦搱攳㌸ㄸ〰挷㕣㉤㙡㍣扡㌸慥愳挷㌸㍤㥥〸㠰㤷㘳㉥攷戴㌹收ぢ㡦㕡挰㌱扦㐶〸挷つ㜴戱ち戹ㄴ㡥㤷愱戴㜱㡥㑦㐵㌵晣攱搹㜵ㅡ㐱㐲㍥㕣㐰㙡〲㐲㤹攱㜸〵㌰晡㜸〲戹戸搴〷㜰〲〱㈷ㄲ挰昵愶挲昱㐹挸㌵㤵攳㈱㝥㘳挵㑡ㄸ〰挷㘷扢㍣扡㌸㕥㐵㡦愷搰㈳ㄷ㡦㝡㌹收㡡㔱㥢攳㔳〱㘹〱挷㤷挲㠰㜰㝣ㅡ㕤㜰搹㘹ち挷慢㔱摡㌸挷㕣㥥㡡㍦㍣㌳㑦㈳㐸挸㠷㙢㔴㝤㈸㍣ㄳㄸ㝤ㄶ㠱㕣扦敡〳㌸㥢㠰㌵〴㜰㐹慢㜰晣〷攴ㄲㅣ扢㕦㜴搳搴戱攲㕣ㄸ〰挷搷戸㍣扡㌸㍥㡦ㅥ捦愷㐷慥㑦昵㜲捣㐵愹㌶挷ㄷ〰搲〲㡥戹愰㔵㌸扥㤰㉥㙥㐵㉥㠵攳㡢㔱摡㌸挷㕣〱㡢㍦摣㑦愲ㄱ挳㌱㤷挱晡㔰㜸㈹㌰㝡㉤㠱㕣㈲敢〳戸㡣㠰换〹戸ぢ〰攱昸ち攴㥡捡戱㙦㍦扥ち〶挰昱㝤㉥㡦㉥㡥搷搱攳㝡㠸㈰ㄷ慣㘵㤹㌶挲扡ㅥ搷戲挶㜶戰ㄹ㡡㘱㈶慤ㅥ㌳㍡㍣㐷㑦愸慣挷㜷搳晣ㄸ〴㤲戲晥戰㥢捣昴戸㉡昵㑤捣㈵昷㐸㔷愵㑣㉥敦㤱慥㜷捦㌶昷昶㔱摢昳搰慥改攷挶㐰㌲ㅦ敤搳挶摦搳〴戵戲搷愳㌹㜳搴慡㈸昳敡㑤ㄷ敦㥣㔹晣㕦㑣㘷㠷慥㐶㙦㔰扤〳晡ㅡ㜶ㅣ㠵㝦㤸㍦戸ㄶ㘹捥㙦㍦摥㘸㈷㜱㉤㘷攵晤㠳㌰攷戸敤戲戶捥㝡改挹㌵㜱捣つ㠵㥤ㅣ㘶晥摡㌹挹ㄹつ昵㈹㥡挸昲㡥㡥〶捦〷捥愸攱〴㙥愴慥攲㜷㌲搹㠷搸散搹㘹㤹户㙢攱㥤〳ㄸ攱收㥡愲挳扤愰晦㜱戸摥〴慥㥢戳ㅡ戸〰㤶摡㤲敥挴㈲攱㍣收愶㐵㈳㌵戲ㄷ捡敡㉢㑡愳㑢攵㌶づ摥㕢㔳捥昷捣㔵㐵㍢㑡㠵㐴㔶㉥愱㜵㙣散㠲㌸㙥〹搴㜳㤶搷㐹挹愱慥㘳戳愲㔵ㄱ扥敤〶㤳戲㑥㙡㘶㜹㍤搶扥㈷っ昰㐱晤摦捦ㅥ〲㈳戹捥㕥㔲戲㥦㐲㔹㐶戸搴㈰㜸ㄴ戵㜰慦㘲扦挵㘴晢挷㘸㜵攵ㄵ摣㌶㡣づ㤸㠴㜳愳攸〹㠰戲摣㕢挰㘸敢㕥扡捤㈳愹愳㜹愲挰ㅥ攳㘴昸捡㌷㘵扣〱搱㤶户㡣敡敡昱㌶㡢ㄲ㍣ㅥ㕢挰㐳愷ち㌳戴昵㤵㤸㙢慦㕡搱㉥㌶戹愶扣慡愱㈲㉡ㄳ昵㘶搴㤶昹晡摦挵晥捡〵㈱捥ㄱ㤵㠵ㄷ㠷㤴挹㜸㐷愷㜹扢㐱换敦摢改敢㜰愴挹愵ㅦ㙣㠴昵つ捥㜱挷㔵摡捤㕥㈷捦㠹扥づ挹愷㍣攴捤㡤ㄸ摡搲㡡㌸愶㜱戱㜳㘲愹扤ㅣ㜱㉥搸搴摡愹戵扣敦攷㉡㥡㔴㘹ㄷ晤㉥昶ㄳ攲戴㜷㔳㈸㠴摢ㄵ㉤㍣㐲㘸㈴戱㝤扤㌲㌶㘶挷㘹て㥦昷搱㘸晢㌶㙡㐰㜱㈱扣㕣摡挹攲㘳㥥㠴〲扣㉤㤷㤳扣㌷愷戸㑣㕥㉥摥㙥挲㕥㔳㕣㉦㙦㕦扣〵㌴㑦㕦晡㡦㄰㡤㕦扣㜱㕤㍤晥〲㝡〳㡤㈰㈱ㅦ㉥愴昷戹㌶摢㐸扢户㄰挸㐵昶㍥㠰㕢〹戸つ㈲挸戵搶摥㠱㈶攳戲㜱㔴〸〴慢㜹㡢㈰慦㥡户㑡㜰㤸㠶昰㈶〶㉣㡢挷摣㝣愸㑤ㅥ㤷㤵敢摢㠱㝡㘱敢搶㔱挰〶ㄴ搷㘵ㅢ晦㜲㑢挶㥥㘰扥㠳晥敦㠴㔰㕣㍦敤扤㕣收愲㘹晢㜲昹㉥㐰㕡㜰戹晣づっ〸攳㜷搳〵㔷㕥愷㕣㉥摦㡢搲挶ㄹ㝦ㅦ搵昰㠷㌷ㅣ搱〸㠳攱攷〳㐸ㄳ㄰昲收㙢摦晤挰攸〷〸晣搰ㅦ昰㈰〱てㄱ挰㔵摤㜲戹晣㌰㜲捤㤸㌴㉡㙥挲愴搱㈳㌰㠹ぢ㘸㉥〴㌷㡤散㈰㡤㙣て愹ㅦ㘵ㅢㅥ㘳ㅢ戸㘸摢换㍡㔷㙡摢慣㍦づ㐸ぢ㔸攷㉡㙦㘱㝤ㄳ㕤㜰戹㜷ち敢㑦愲戴㜱搶扦㐳㌵晣〵昴㥦㘹〴〹昹㜰㙤戸〹〸㘵㠶昵愷㠰搱㥢〹攴扡㜱ㅦ挰ㄶ〲㥥㈶㠰㑢挹㠵昵㘷㤰㑢戰摥挸晤㈹㑣搵㌵㠵昵攷㘰ㄲ慣敦㜰戵愱㥢㌴㔲㔸㝦㥥㙤搸捡㌶㌰㝡㉦敢慤㔱㘶戳晥〲㈰㉤㘰㥤㑢换㠵昵ㄷ改㐲㈳㤷挲晡㑢㈸㙤㥣㜵慥㐵㐷敢㜱㠶愱ㄱ㈴攴挳〵改㍥愴扥〲㡣㝥㤵㐰㉥㔶昷〱扣㐶挰敢〴㜰晤扡戰晥〶㜲挹㍢㔶慥㔷攷昹㝣晤昶扦㘳昵㈶㉣㠰㘴慥㜰㌷㉥㕤摦つ户搱攵㕢㜴挹搵攸晣㝥ㄸ㝡㥢㌹㝣㌷㜸㠷ㄵ㥤敦〶敦㈲㡤敦〶㡡慢搵昹晤挰㙣愹㔷戵敦㌹愸敥㐰㙤㜲搸㘸散㉡㐹敤〱㌰慦㤴戰捡っ搵㤳愷敡てㅤ㘳㍤愰攷改㍡㜵晢㝡㘵户搲摥搵㍤㌷㝥㤸㌸愱昴〴捥㍥愱慣ㄱ㈸慡㜸㑦㈸㕣㌸㉦扢晣敦戰慤戸㠲摥㥣㔰ㄸ戳晥ㄸ愲昱㕤㕥㠴㙡搲摣敤㌴〲㔷昲搹ㅢ愵㠶㕥扡㜷㙥㔶㝦㐲扢㥦ㄲ挸㘵昸㍥㠰捦〸昸㥣㠰㝤〰攰㐹㐵㝦㠱㕣攲㍣挰戵昷愶㥡敢㍣昰㈵慢㝤挵㙡㕣㈷㉦扢敤ㅦ捣㘱户晤ㄳ晦愳㑤昲㤵敥㙢愴戹摢戸㡥㍥昳㙥晢挶㐱㜱愱晤㈶㈷愲㐶㜷ㅢㄷ攴摢扢敤㕦愸㥥摣㙤摦㍡挶戸㔶摦㙦户㙤㥡昰㤴㕥戶昴昳挴㙥攳愲㝤㝢户㕤㐰摥挸愶㜷户㜱㐹扦散戶敦㘱㕢㡤㐲捥散㌶挶慣㝦㠰㘸㝣户㡤㐶㌵挶愶㝦愴ㄱ摢㔱㐰㡤㐵愹愱㤷摥㥤摤昶ㄳ敤晥㤷㐰㍥㈰攰〳搸㐱挰捦〴昰㤱〱搹㙤扦㈰㤷搸㙤㝣㉡挰㔴㜳敤戶㥤慣挶敦晢㡡㉢昸扤㐳ㅡ㤷敤摢㐳ㅡ㔷㤹戴㘰㐸攳㤲㝦㈱ち㙢㄰〲㡡㙢晦㔳㠶㌴扣搱慣〹㐴昱ㄹ〱㈱㉡㐸㈳㠶㈸㍥㈸㘰〲㜲ㄱㄵ〲㐶户㈶㤰てㄱ昸〰昲〸攰慢昳ㄵ㥦㉢㤰㈱㉤㡣㕣㜲㐸换㝥㕦慤戸搸㙦摡㌶ㅦㄶ㌰愴昱挹〳攳搲㌵愴戵愵换㜶㜴ㄹ〵挰㑢昲㐲㤴搹㈴ㄷ〰搲〲㤲昹㔸㠱㤰㙣搱㐵㈵㜲㈹㈴昳㜱㤴挶㝢㈳㥦㐳㄰㤲㍢搲㠸㈱㤹て㈳㤸㠰㕣㈴㜷〲㐶㜷㈶㤰て㉡昸〰扡㄰戰ぢ〱㝣㜶㐱㐸敥㡡㕣㘲㑡戱㤱摢て扥㌷攱扢挱〰㌸收挳つ挶愳㡢攳摤攸㜱㜷㝡攴㠳〸㕥㡥㑦㐲㤹捤㜱㜷㐰㕡挰昱挹㌰㈰ㅣ敦㐱ㄷ㉢㤱㑢攱戸㄰愵㡤㜳㝣ち慡〹挷㍤㘹挴㜰捣攷ㅤ㑣㐰㉥㡥㝢〱愳昷㈴㤰捦㐲昸〰㝡ㄳ㔰㐴〰ㅦ㡦㄰㡥昷㐲㉥挱戱晢慤摤㍥攷㘶摦㥢昰㝤㘰〰ㅣ昳昹〹攳搱挵昱㍥昴戸㉦㍤昲㔹〷㉦挷㝣挰挱收戸㉦㈰㉤攰㤸て㐷〸挷晤攸㠲㑦㐹愴㜰摣ㅦ愵㡤㜳捣愷㈹㠴攳晤㘹挴㜰捣㐷㉡㑣㐰㉥㡥〷〰愳㡢〹攴攳ㄶ㍥㠰㠱〴っ㈲㠰㑦㘰〸挷㠳㤱㑢㜰摣㐸㍦昶扤㔵㌹ㄴ〶挰昱搵㉥㡦㉥㡥㠷搱攳㜰㝡扣ㄹ〰㉦挷ㅢ㔰㘶㜳㍣〲㤰ㄶ㜰捣攷㉦㠴攳〳攸㠲て㘲愴㜰㍣ㄲ愵㡤㜳捣〷㌶㠴攳㔱㌴㘲㌸收㔳ㅢ㍥ㄴㅥ〴㡣ㅥ㑤㈰㥦攸昰〱㡣㈱㘰㉣〱㝣挸㐳㌸ㅥ㠷㕣㔳㌹昶敤挷愵㌰〰㡥昹ㄴ㠸昱攸攲㜸㍣㍤㑥愰挷㐷〱㤰㙢㤵㠹捣攱㕡㘵ㄲ㉢㍡搷㉡㤳㤱收戵捡㘳〰㘵扥㔶㌹搸㐱㍤づ搴㈶㠷㡣㐶慦㔵昸㘸㠸㝤慤㌲〵搵㤳搷㉡搳ㅣ㘳㑦㐰敦㜷慤昲搹挶㐷㝡㙦扡攰㡢挴戵ちㅦㅦ㤱晥㈰㑦㜳戰攵㘹搷㉡㝣戸㐴昶昸っ搸㔶㥢㤱戳昷㜸㐰㌳㘶㝤〸㐴攳㝢晣㘹㔴㤳㍤㍥㡢㐶捣ㅥ㝦ㄶ愵㠶㕥㤴㤹㙢㤵㌲摡㍤㤴㐰㍥慡攲〳㤸㑤挰ㅣ〲昸昰㡡㕣慢捣㐵㉥㜱慤挲攷㔳㑣㌵搷戵捡㘱慣㌶㡦搵昸㉣㠹昷搰攰〳㈴昶愱㜱㌸㈰㉤㌸㌴昸昰㠹㄰㜵〴㕤昰㈹㤴㤴㐳攳㈸㤴㌶㑥搴扢愸㈶㐴ㅤ㑤㈳㠶愸昷㔰㙡〲㜲ㄱ㌵ㅦㄸ㝤っ㠱敦晢〳㈲〴㉣㈰㠰㑦戸挸愱㔱㡥㕣攲㕡愵㤱攱挷晦㕡㈵ちぢ㌸㌶昸っ㡣㘹㤳敢搸㠸搱攵㐲扡攴昳㉡㕥㤲昹㤰㡡㑤昲㈲㐰㕡㐰㌲ㅦ㜰ㄱ㤲㉢改㠲㑦扡愴㤰扣ㄸ愵㡤㤳捣㈷㘲㠴攴㉡ㅡ㌱㈴昳戱ㄸㄳ㤰㡢攴㙡㘰㜴つ㠱㝣㘴挶〷㔰㑢挰ㄲ〲昸ㄴ㡤㤰㝣ㅣ㜲㑤㈶搹㜷㔵㘶ㅣㄶ㐰㌲㥦戳㌱㉥㕤㈴搷搳㘵〳㕤收昲㡡ㅤ㔰扤㤴㌹㈷㤴㘰㙢㤴㝡㤷〹愷㉤攱ㄶて㌱㉥收㉥慢㕦㠱㤵㐷㤲攴戲㘱㍢挵㔹㍤摣敥㠲ㅡ㡢㤹㙢敢㌰搳㥤敢㝤愵㑡愲敥昳㜰摣愶㤳攷㉤挱㔲㡤㥡㈰㕡ㄳ㍣晢扦改㙦挲㑤搴㘷挳㤳慦っ㘵ㅤ㙥愱攵㘸㘲愷㘹㤵攵㜵戵昱摡㔸㍤ㄶぢ搷挴ぢ昹搶攵ㄸ愶扡挷〶捦㠴㐵㕦㥦っ㉣户㠶㍦㐰戴㤴㙦㈱つ㉦慥愹㕤㔶㈳慤〹挶昹昲㘹攱慢㜵㙢扡攱〴戸㙣㝢㠲㍣㉢てつ㘵㘵㝤㍣㘴摢㔶㤶㐶㥥㥢ㄵ㌶㠹㌶㈶㤱敦㈴㠲〵㐸㌴㜵㘹㌴㙤慢〵慡㕣㔵愸㘸㙥敢搶㘹㜷㐶搳㤶㔴㈷摥ㄱㅢち㜱㐵㜵㜰㌵㐲昶摥㑥昵慦㤴捡㈸㉢换っ搴㠹㘸㠲㍥〹㈲㙣㔹㘸㌸ㅢㄴ㍡ㄹ戲㐳挹戸昹㜸㜷愹㜹㥢㈹㝢㐱㘸㈵捡昳㔱㉥㜳晤戳昰㙥攸搰㉡㤴戴㐳㠹敢ㄹ㤲搰㈹㈸㙢㡦戲搴ㅦ㠲戲摡㍢搶攵戹㘸摤ぢ㝥㜴㑦㡡搵㠰慢㡥㔰捡㑥㌸㠳㌹ㄴ换愷㌳㑡搹㜱搵ち㐴挹敥〲㐵㈰㜴ㄶ㈰ㄹ晢㠰㕡〶ㄸ晢㐱敡㝥散㘲㥣慦㐱㘵散挷㕤㤰攷㘶㜵㌵㠹㕤㑤愲㥢㤳㔰摤㤱攰扥㔴つ㌰㐷㥥㠵慦㜳㘰㐰㥦ぢㄱ戶昶㠰ㄲ㠹㐰攸㍣㐸㍦扥捥㐷㜹㉡㕦ㄷ愰挴换搷㠵㈸昳攱慢㠷㘳摤收㙢ㅦ昸戱㝦㤲改㔲挰㔵㑦戶㡢㐵㙢㤹㐳㐲㍥㝢愲㔴昸慡㐴㙢つ㕦㥡㝣昱昰㔰ぢ㔱㥡㑥㑤㙦攳攷㑡攰㐰㑤ㄱ昲摣慣扤㑣㘲㙦㤳攸攳㈴㔴㕦㈴㠴㥡愸㥢㥡㜵㌰愰搷㐳㠴慤㝥〰搰慤㈶㌵㥡㍣㘸㠶慥ㄹ慢戵㥦㔱扥㑦挴〰㡡晤㈹㙥㠴㔲敤て愵㐴㜶ㄳ㜳㈸㤶㑦㌱㑡㈵戲㜹敥挸㌸ㅡ㐸㘴㜳㝤㈳ㅢ㘸晣㙣〴づ㤱つ㐲㥥㥢㌵搸㈴㠶㤸挴㔰㈷愱㐶㈰㈱㤱捤㜶㐷㜶㉢っ攸摢㈰挲搶〱〰搰慤收㐱愲㜹㐴㘸ㅥ〴㥡扤摥㍡搰㈸㈵戲㘱㠴つ愵戸て㑡㌵ち㑡㠹散㝥收㔰㉣㥦搱㈸㤵挸㈶扢㈳㑢散戳㠹扥㤱㡤㌱㝥ㅥ㠶㈹㐴㌶ㄶ㜹㙥ㄶ㤷晦㑡愲挴㈴㑡㥤㠴㥡㠸㠴㐴㌶摥ㅤ搹㈳㌰愰ㅦ㠵〸㕢㤳〰㐰挲㝦㥦㑤㌶㑡㠹散㈰挲㜸ㄳ㐷㙦㐶つ㌵〵㑡㠹㙣ぢ㜳㈸㤶捦㌴㤴㑡㘴㈳㝣㈳ㅢ收ㅢ搹㜴攳攷㌹㤸㐲㘴㌳㤰攷㘶捤㌴㠹㐳㑣㘲㤶㤳㔰戳㤱㤰挸㠶戸㈳摢ち〳晡〵㠸戰㌵〷〰㈴晣㈳㥢㙢㤴ㄲ搹㜸挲㑡㈹㕥㐷つ㌵て㑡㠹散つ收㔰㉣㥦㈳㔰㉡㤱敤攳㡥㉣搱ㅢ昷昶㡤散㐸攳攷㉤㤸㐲㘴㐷㈱捦捤㍡摡㈴收㥢挴㌱㑥㐲㤵㈳㈱㤱ㄵ戹㈳㝢〷〶昴扢㄰㘱慢〲〰㈴晣㝢㘳搴㈸㈵戲愹㠴㑤愱昸ㄸ㌵搴㐲㈸㈵戲敤捣愱㔸㍥㤵㈸㤵挸㜶㜵㐷㤶攸㡤扢昸㐶㜶慣昱昳㌹㑣㈱戲挵挸㜳戳慡㑣愲摡㈴㙡㥣㠴㍡づ〹㠹慣戳㍢戲㉦㘱㐰㝦〵ㄱ戶敡〰㐰挲㝦㥦挵㡤㔲㈲㉢㈳㙣ㄶ挵㜷愸愱ㅡ愰㤴挸扥㘷づ挵昲㔹㠶㔲㠹㑣晢㐶搶摡㌷戲攵挶捦㑦㌰㠵挸㔶㈰捦捤㍡摥㈴㑥㌰㠹ㄳ㥤㠴㕡㠹㠴㐴ㄶ㜴㐷戶〳〶昴捦㄰㘱㙢ㄵ〰㐸昸㐷㜶㡡㔱㑡㘴㝣㈳愹㥥㐷ㄱっ㈲㡥搳愰㤴挸㐲捣愱㔸㍥慢㔱㉡㤱晤昸㤳摦愸晦ㅦ㤴愶㡦晡㘷ㄸ㍦㘱㤸㐲㘴㘷㈲捦捤㍡换㈴捥㌶㠹㌵㑥㐲㥤㡢㠴㐴昶ㅤ㑣慥㐶㜴㜲㐲捣㠷〱摤ㄶ㈲㙣㥤〷㐰挶挸捥㌷㑡㠹㉣〲㕦晡ㄸ㡡捥㡣攵㐲㈸㈵戲㉥捣愱㔸㍥ㄷ愳㔴㈲晢捣ㅤ㔹攲㌸晢挴㌷戲㑢㡣㥦㙥㌰㠵挸㉥㐵㥥㥢戵搶㈴㉥㌳㠹换㥤㠴扡ち〹㠹散㘳㜷㘴扢挳㠰敥づㄱ戶搶〱㈰㤱昹㡤晡敢㡤㔲㈲攳㍢㐴昵㐲㡡㈲㔴つ㕥〳愵昷〲捤昵ㄴ慢㙢扤ㅢ扦㤷㕡慥㐵㠸㜲愹搷㍥㜶㐸㐳愴ち㍦愴㌹〳敢㘰敡㔹昴㝢㔸㍤㤱㙢慦㐶㙡昴㉡㔷㐲㌸攲㈸㕥㙣㝡㌹㐸扤㐸㜵㘲㤳㕦㍦㘸搹㕡㡣㜰昰㉤散扢愶㜹㘱攷㑡㝥戹㘰敢戰㤳戰㘲㙤㙦敥㙢㑣捦㕣㡢慣昴挶㍥㈸㌰㥢晡ㅦ扦搲㈰搷摥㌴㝤愱て慤㜶㑣㍥ち捡㠷㝥晢㔶㘱捤㔳ㄳ㥥戱摥〷㙤㔱㌷昸戵㐱摤㘴㑡晢ㄲ〳ㄷ挸㘳戱㌱愴ㅣ㍤慦戹㡥㥥搰㝥㠰㘴扥㝡㝥挵昷㤰摡〰㑢搲晢昷㐷㘵ㅣ㔲ㅢ㘹ㅦ㥢㜵㡢㐹摣㙡ㄲ户㌹㠹㠲摢㤱攰㌵㜸㐸㤰扦愲戰敥㠰㘵㝡戱慦㈸攵摡㔲㉥㉢敦㌴攵昲收㤴ㅡ㈲㠶㤰㡦扢㔱㉥㝢㜳愸㥢㥤㝢㔱㉡散㍣敢㘲㐷㈷挶㤶愷㝤㠹戸て㤵㠴㠸〳㙣㈲敥㐷㥥㥢昵㠰㐹㍣㘸ㄲて㌹〹昵〸ㄲ㌲戶㙣㠶挹挴愸㌹ㄲ〶昴㈸㠸戰昵㈸〰挹戱㠵搷㤱挹换㑡敢㌱愳㤴戱愵㠴戵ㅡ攰㔰昳ㅤ㠳㙡ㄳ㤴ㄲ搹〴㤴㈷昶㍢搷㔲㐸㘴て昹㐶昶㠰㙦㘴㝦㌶㝥づ㠶㈹散攲愷㤰攷㘶㙤㌶㠹㉤㈶昱戴㤳㔰捦㈱㈱㤱摤攷㡥㙣㉡摢㌸つ㈲㙣㍤て㐰挶挸戶ㅡ愵㐴㔶挶㕡㝣摤㥦收换〳搵㡢㔰㑡㘴㜳㔰捥㠴㝣㕥㐲愹㐴戶挱㌷戲㥢㝤㈳㝢搹昸㌹ㅣ愶㄰搹㉢挸㜳戳㕥㌵㠹搷㑣攲㜵㈷愱摥㐴㐲㈲扢搱ㅤ搹㤱㙣攳㔱㄰㘱㙢ㅢ〰挹挸㍣摦〲摥㌲㑡㠹散㌴昸搲愷㔲㐴ㄹ换㍢㔰昲㥣㄰㔶㔷挲㌶挷㉣㘴㌰昶㉣愴㕤㡣㍤敦㈲㉢㤱愷㡣㍤敦昹㤶扥㡦㔲㡥㍦扡㤲㤶㍦昴挵晣摤㤴㉥㈶〶慥㤰て愸㡦㈱㠵挹㑢搰㠰挴㌷㐵㡥つ昲㝤敡㈲㤴愶㕦㌳㙣㐷㈵〹扡ㄶ㌸㌰昹〹㑤㘱戳㍥㌵㠹捦㑣攲㜳㈷㔱昰〵ㄲ扦捤㌰昰㈵㉣搳㡢㜷ㄸ昸捡㤴昳ㅤ㠴昲换㠹扡㠱愱晦ㄳ攵㌶昱㙢㔲㠸㕦〶㈵㠹晦ㅡ晡㜴攲扦昱㉤晤ㄷ㑡㠵昸ㄵ戴晣慤㉦收㝢㔳㝡〲㌱㘸ぢ昲㔸㙡〴㈹挴㥦敥㑢晣愹扥挴晦㠸㑡㐲晣㑡㤸〲昱㍦搱ㄴ㌶敢扦㈶戱挳㈴㝥㜶ㄲ〵扦㈰昱摢㄰捦づ㑢㉦㕥攲搹㐴㈹㍦㡦捡昳㈹㔶㌳㜴戹㔱捦摣ㄹづㄱ㈴㠳㍦〰㙥ㄳ戱挲㑤㐴攲㥢挶㌲㕦㈲㠲愸㈴㐴慣戱㠹〸㌱㠳捤攲敤㜹㐹攴㤹〴敦挷㜳㔳昹㐸挸戱摣〰㤳㠹昱昷ㅣㄸ搰攷㐲㠴慤戶〰㄰散㍢㔷搱捥㈸攵㔸收㍢〵昵愵㈲ㄸ㡢〵愵㜴㤹戵捣搱ㄹ㍦扣㍢㉥扢戸搲㌷戲㠵扥㤱昱ㅥ㌹晥昰搶㝤㤸挲㉥收晤㜰㙥㔶㘷㤳攸㘲ㄲ扣〹捥㑤㜵㐳㐲㈲㡢扡㈳㕢〷〳㝡㍤㐴搸攲ㅤ㙣㠲㝤㈳摢摤㈸㈵戲昵㠴昱搵㠳晡㐶挶戲〷㤴ㄲ搹㑤捣搱ㄹ㍦㠵㈸㤵挸收戹㈳㑢㥣㌳攷晡㐶搶搳昸搹〸㔳㠸㡣㜷愱戹㔹扣ㄳ㉤〹摥㜶㤶㐴㤱㤳㔰㝤㤰㤰挸㘶扢㈳扢ㄵ〶昴㙤㄰㘱㡢昷㡤〹昶㥤㠵搹搷㈸㈵戲ㅢ〸扢㥥攲㍥挶搲て㑡㠹散㝥收㔰㉣㥦晥㈸㤵挸㈶扢㈳㑢昴挶㠹扥㤱敤㙦晣㍣っ㔳㠸㙣〰昲摣慣㘲㤳攰捤㕥㈹攱つ㕦㙥㙡㈸ㄲㄲ搹㜸㜷㘴㡦挰㠰㝥ㄴ㈲㙣昱㙥㉤挱扥晢㙣戸㔱㑡㘴户㄰戶㤱㘲㌳㘳㌹〰㑡㠹㙣ぢ㜳㜴挶捦㐸㤴㑡㘴㈳㝣㈳ㅢ收ㅢ搹㈸攳攷㌹㤸㐲㘴〷㈱捦捤ㅡ㙤ㄲ㘳㑣㘲慣㤳㔰扣㐱㉡㤱つ㜱㐷戶ㄵ〶昴ぢ㄰㘱㙢㍣〰〴晢㐶㌶挱㈸㈵戲扢〹扢㡢攲㜵挶㌲〹㑡㝢攸摥ㄷ戶㤳攷捣扦搲㉥㠶㙥摥㔶㤵挸㔳捥㤹〷晢㤶昲敥愸っ摤摢㘸㜹㥡㉦㘶㠶㈹㝤㥢ㄸ㌴㠳挳㥡㍡〴愵挲㘴㙦㌷㤳㠹㜳㘶㉦㕦㈶㜹㜷ㄳ㝦㔸昸〷㔳㘰㤲㜷㌲戹㔹扣㥢㈹㠹搹㈶㌱挷㐹ㄴ昰捥攵㙦㌳㜴ㅦ〶换㝥㐳㌷㙦㠱㑡㌹㕦㍣㈸㍦挴慡㍦㘶攸㜲摦㤲㐵摢ㅤ㈲愴㑢ㅤ〵戴㄰戱慢㥢㠸挴挱戲㡢㉦ㄱ㐷愳ㄲ晥戰㄰搰㈶㘲㍥㌳搸慣㘳㑣㈲㘲ㄲ扣㍤挹つ户㐴㥣㉥搵ㄹ㈶ㄳ㐳昷㤷㌰愰扦㠲〸㕢㌱〰〸昶敤㔲扣攵㈸㑡改㔲㡦ㄳ昶ㄸ挵㜷㡣㐵㙥ㄶ㌲昷㍤㜳㐸挸㠷㌷ぢ㈵㌲敤ㅢ㔹㙢摦挸慡㡣㥦㥦㘰ち扢戸㥡㑥戱㔹㌵㈶㔱㙢ㄲ㑢㥣㠴攲捤㍣㌹㔸㠲敥挸㜶挰㠰晥ㄹ㈲㙣昱㝥ㅥ挱扥㤱㌵ㄸ愵㐴挶户昸改捤ㄴ㐱㝣搹戲㤶ㅡ㘵〸戹戶慤㠲挷㈳㝦㘰收〷敥㕣㜷㙥晡攲愹㤴㤴ㅦㅤㅤ㡦ㅦㄱ㕤㠱晢㡤㠱㔶㜸敤㤱晤戲愰摣㥣〳㕡㘶㡢㔳〱㝣ㄶ㠹㥦攰㡦㍦敥摣昹扦戰挳㝤㤵晣晥㑥㡢㍤昰搱㜹〸戸攰㐴㠴ぢ〶扤摦㍢扦ㅥ㡤㌲㙥㘳㐴〶昲㥣晦慤㌱〵㈷㤹ㅡ㐷愹㥥ㄷ㡤つ㝥戰搲晢敥㑢扢㠶戵挹晥扦捦ㄸ戵ㅡ㌵㡡㤰昳晥㠲摤户〸敢㉤扣㠹㍥敤㈷晣晥敤㈸扣㍦攱㘷㥤〱㑢昸挳㕡㍥搹㔹㙡つ㌲摣㘱敡ㅢ搴㈰㑢ㄲ㤸挵挰捥㐱㜱昳〲㍢搷搴挸ㅥ㔸㈷㈷戰扤挶愸㑢㔱挳㉦戰㉦㌳〵昶㠵愳昰晥㌴㥦戵ㄶ㤶昰㠷搷ㅣ搹㠱㕤㠹㡣〴昶㤹㍢戰慥っ㙣ㅤ㔴捤ぢ㙣扤愹搱攴挰㙥㐴つ扦挰㍥捡ㄴ搸摦ㅤ㠵昷㈷昷慣㥢㘰〹㝦㜸㤵戹ㅤ搸㐶㘴㈴戰て摤㠱ㄵ㌲戰㕢愱㙡㕥㘰户㤹ㅡ搹〳㜳㜵挵晢㔰挳㉦戰㜷㌲〵昶戶愳昰晥㤴㥥㜵㍦㉣攱て慦㐲戲〳㝢ㄸㄹ〹㙣㥢㍢戰㍥っ散ㄱ愸㥡ㄷ搸愳愶㐶昶挰㕣㕤㜱㌳㙡昸〵昶㕡愶挰㕥㜵ㄴ摥㥦挸戳戶挰ㄲ晥〲扡扦ㅤ搸㜳挸㐸㘰㉦扢〳ㅢ挰挰戶㐲搵扣挰㕥㌰㌵戲〷搶㜵ㄳㅡ㠰㙤攰ㄸ昵㍡㙡昸〵戶㌵㔳㘰捦㍢ち敦㑦摦㔹㙦挰ㄲ晥㜰㡦搱づ散㉤㘴㈴戰㘷摤㠱つ㘷㘰敦㐰搵扣挰摥㌵㌵戲〷㤶户㠹㘱〵〲晤挷愸㡦㔱挳㉦戰愷㌲〵昶㘷㐷攱晤㐹㍢㙢㍢㉣攱て扦㔵㘸〷昶㌹㌲ㄲ搸ㄳ敥挰挶㌰戰㉦愱㙡㕥㘰㕦㤹ㅡ搹〳㜳敤戱敦㔰挳㉦戰㐷㌲〵昶㈷㐷攱晤愹㍡敢㝢㔸挲ㅦ㤶ち摡㠱晤㠴㡣〴昶㤰㍢戰㐹っ㙣〷㔴捤ぢ散㘷㔳愳挹㠱〵攱挰㉦戰㝢㌳〵㜶㡦愳昰晥〴㥤ㄵ㠲㈵〹㙣扡ㅤ㔸ㄸ㜹〹散㉥㜷㘰㌳ㄹ㔸㍥㔴昸㙢挶〹扡慤愹㤱㍤㌰搷攰搱ㄹ㌵㡡挸昳扢ㄴ敦㔱昰㔲㐹摤㥡㈹戰㕢ㅣ㠵昷愷攵慣㉥戰㈴㠱捤戱〳敢㠶扣〴戶挱ㅤ搸㘱っ㙣㜷愸昰搷㡣挰扡㥢ㅡ㑤づ慣〸㌵㡡ㄸ㡥㈷戰ㅢ㌲〵㜶扤愳昰晥㘴㥣攲扤づ㕥㐷改愳搱㜶㕥晢昳㘳㤹㉦㔰㑡敥㌶㔰㙤㑡㐴捤晢ぢ挲挶㌱㌶ㅢ扣ㅦ㈰㙣㕣攳㘶㘳〱㤴㙡〸㔴㐵㌴㈰㉤㝤ㅤ慥散㕤㜰㘵愶㤶㕥攱㈸扣㍦愷㘳つ㌵㑥ㄷ搹㑥て㌰㑥㉦㜳㍢㍤ㄶ捡㠲㤱㔰攱慦ㄹ扢㘰㤴愹㤱㝤ㄷ戸㐶〳捥挱ㄷ㈵〲㑢昶慤㡢㌲〵㜶愱愳昰晥㑣㡥㌵〱㤶㠴捤㈵㜶㘰〷㈳㉦㙣㥥敦づ慣㡥㠱㑤㠵ち㝦捤〸㙣㥡愹㤱㍤㌰搷愵〴愷攰㡢㝣〲㕢㤳㈹戰戳ㅤ㠵昷攷㙦慣㌹戰㈴㠱㉤户〳㍢ㅣ㜹〹散㑣㜷㘰挷㌳戰㈳愱挲㕦㌳〲㍢捡搴挸ㅥ㤸搹㘳扤挷愸㈸㙡ㄴ昹〴㜶㙡愶挰㑥㜱ㄴ㘹㍦㙢挳㐹㝡㌹㘸㔶愱敤收愰㔱㌲晢㑥晢收㔸攱㔷㈶㡢昳敤㐲挲愹㌶〹㥣㌴ㄷㄲ㑥㜲㤳㜰㍡㤴慡〱慡愲㐴〳㤳挷捡昲㑣つ㕣收㈸搲㝥㕡㠶㤳搹搲挰㌵敥〶捡㉣戵扢㠱㠴㔸㥣㤷㤶〶㥥㘳㌷㤰㤳换搲挰戸扢㠱攷戱㠱慢愱㉡昲㘹㘰㑤愶〶㔶㍢ち敦捦扢㔸㘷ㄸ愷㤷搸㑥搷ㄸ愷㡢摤㑥搷㐲㔹㜰づ㔴昸㙢㐶搷㌸搷搴挸摥㌵㕣㈷㡡㑢㔱愳㈸ㄱ㔸昲㘰㡥㘵ち㉣敡㈸扣㍦摢㘲慤㠵㈵㘱㜳㥤ㅤ搸㤵挸ぢ㥢攵敥挰慥㘶㘰敢愰挲㕦㌳〲㕢㙦㙡㘴て捣昴㜹㕣㘵摥㠸ㅡ㐵㍥㠱ㅤ㥤㈹戰愳ㅣ㠵昷攷㔸慣㥢㘰㐹〲扢挱づ㙣㈳昲ㄲ搸ㄱ敥挰㙥㘲㘰户㐲㠵扦㘶〴㜶㥢愹㤱㍤㌰搷㔵收㝤愸㔱攴ㄳ搸㥣㑣㠱捤㜶ㄴ摥㥦㔹戱敥㠷㈵〹散㔶㍢戰㠷㤱㤷挰捡摣㠱摤捥挰ㅥ㠱ち㝦捤〸散㔱㔳㈳㝢㘰慥㍤戶ㄹ㌵㡡㝣〲㥢㥥㈹戰㘹㡥挲晢昳㈹搶ㄶ㔸㤲挰敥戵〳㝢づ㜹〹㙣㡡㍢戰晢ㄹ搸㔶愸昰搷㡣挰㕥㌰㌵㥡ㅣ搸敢愸㔱攴ㄳ搸㠴㑣㠱㡤㜷ㄴ㘹㍦㡢挲昹㕥ㄹ摤ㅥ㐱摢ㄳ挳慦㑣攴搲㝥捡昰换愹㕢㈱攱㌱㥢〴捥扦ち〹㘳摤㈴㙣㠲㔲㝤っ㔵㔱愲㠱挹攱㜷㘴愶〶ㅥ攸㈸扣㍦㑤㘲㙤㌷㑥户搸㑥㍦㌷㑥㐷戸㥤㍥〳㘵挱㤷㔰攱慦ㄹ捣㝦㘵㙡㌴㤹昹敦㔰愳㈸ㄱ㔸㜲㜴ㅢ㥣㈹戰㐱㡥挲晢㤳㈳搶昷戰㈴㙣扥㘸〷昶ㄳ昲挲㘶戱㍢戰㤷ㄸ搸づ愸昰搷㡣挰㝥㌶㌵㥡ㅣㄸ㈷㍡㡢㝣〲敢㤷㈹戰扥㡥㈲敤愷㐴㐲戰搴搸㑦㠹昰〱㠳㘸㕣摥〵㔷〰愷挱ㄸㄷ挳户㠹搹挵㥣搷㤴㜷㠰㔵挹昳〴昹㜸摦㝦摤攲㘸摤㔴晣挰〵摥昲㕦㔶㔹敤㉣㠳挷て㕦昰摤㈸收㡤昲㕡㜲慣ㅣ㡡捤愸挳㉢收㕢挷㈶挷昱㤶慢㡡扣敡㤹㤱㝡晣ㅡ㜳捤敦㘱㥤ㄷ㥥昰挸攵挵っ㡥戶㔶㑡〵㜲㝣ㅦ慥攰㔳ㄳ摥户挴戸㔶戸㈵昹㌰㙦㍡捡攱捦〴戴㙣㤵㔷攸つ散慦昴㠷㠴㉡㕣㍦㠱㤱愳昶挱捥戶㔷㉦慣ち散㤴搶〷㜲〲晡㑤搴㤴慦㠲㌲㠴㐰㠴昵㕢㉣㝡ㄹ〸ㄱ㠱㘰ㅥ昲摥㄰昹搰ぢ㥦㜴て〴㤷㔵㔶搴㉦ち㉤㡡㔶㉥㕣㠴搵㌷㙤摡㌰㙥戳愹㜶愸捡扥ㄴ㝡〷愲戱〶敥改摢挰昷㔰搳搳挰て㔸㤴㙣愰戲㤰㘷㈳捤愶扡㈰㈳㙥晦㠶㐴㘳㙥扢晢扡晤〸㌵㍤㙥户戳挸攵戶㉢昲㈹㙥昷㐰㠱戸晤ㄴ㠹挶摣敥攲敢昶㜳晡攰㤰㤴摣ㅤ㕦戲挸攵戶㄰昹ㄴ户㝢愱㐰摣晥〳㠹挶摣戶昷㜵晢㌵㝤愴扡晤ㄷ㡢㕣㙥晢㈰㥦攲戶㍦ち挴敤户㐸㌴收戶㡤慦摢敦改㈳搵敤て㉣㜲戹ㅤ㠰㝣㡡摢愱㈸㄰户㍦㈱搱㤸摢愰慦摢ㅤ昴㤱敡昶ㄷㄶ戹摣づ㐷㍥挵敤㐱㈸㄰户〱㉣㐸㙤捣敤捥ㅦ晣づ戵ㅣ搴昴戸捤㘵㤱换敤ㄸ慦摢〹挶㙤愸〹㙥㝦昴㜵㥢㤷敥㤶㙦㤴㜲扢㥤攴㜵㍢摤戸捤㙦㠲摢㝦晢扡㙤㤷敥搶昲戸㥤改㜵㍢挷戸敤搰〴户㕦昹扡敤㤴敥戶㡢挷敤㘱ㅥ户搶搱㈸㤰搳㜸㔷㈲㜷愵攸〶ㄱ㔶挷㤸昶散㠶㙣昲搷戹攵㘹戹㜸㡥晡挸戴攰㡢㠱扢㈶㐷搴敥慣捦换㈵㈵攷〸㡥愸㍤㔸攴摡捤㥣ち㘲敦摡㌰晡戳㌱㈷㡦㔹㌳㔶㉤㌲㡥㝡〲搹㔸敦㝡捦戸つ戸〷昲㍤改㈳戵㔳ㄷ㜹摣㜲㌲㈸愵㔳㉦㌱㙥昷㙥㠲摢㌷㝤摤敥㤳敥戶慦挷㉤愷㙡㔲摣㉥㌷㙥昷㙢㠲摢㔷㝣摤敥㥦敥戶搸攳㤶ㄳ㈹㙥户搶㉡ㄴ挸㙥ㅥ㐴攴㘰㡡㈱㄰㘱挵愹〸ㅥ摢㥡扢㌹㐷㍤㙢㍣愶散搶攱挴愷敥搶〳㔸攴摡慤㥣戵愰㐷戳㕢㉤㑥㌷㠸挷㤱㐴㡥愲㌸〸㈲慣㌸户攰昲戸挹搷攳㔸攲㔳㍤㤶戰挸攵昱㍣㡦㐷挵昹〳ㄹ愶挶〳搹㔸㐷㝡搸戸㑤改㐸ㄳ改㈳戵㈳㑤昶戸㕤敢戸㑤㥣㜰昹敤㕥摣㑥㘹㠲摢㝢㝤摤㑥㑢㜷㍢挳攳昶㙡慦㕢㝥昷ㄶ户㠷㌴挱敤敤扥㙥换搲摤捥昶戸扤挹敢㤶摦㡣挵敤摣㈶戸晤愳慦摢㜹改㙥㡦昰戸扤摤敢㤶摦㕢挵敤㔱㑤㜰㝢㥤慦摢昹改㙥㈳ㅥ户昷㝢摣㕡晣㔶㈹㥤戸㥣挸ち㡡㈸㐴㔸㍤收戴挷㌹㙣慥㌰ㅥ㔳づ㥢㐵挴愷㜶攲㘳㔹攴敡挴㥢ㅣ㡦收戰㔱㕢ㅣ挳愱㉡㈰ㅢ敢挴ㄷㅢ户㈹㥤戸㠶㍥㔲㍢昱ㄲ㡦摢㘷ㅣ户㠹㑥晣愲㜱㕢搷〴户攷晡扡攵㑢ㅤ㍤㙥㤷㝡摣扥攴㜱ㅢ㝣ㄳ〵㑤晥愲挰敦昹㉤㝣㔲㘲㌹ㅡ愲㜸㙤㉦㜳〵㉢㤸㜳㉥㌳搵㝢㈸㘵㌳昴昱㉣晤挰㘰㑥㜰㘳㜸㐱㉣㤸ㄳ㔹扡摤㘰㑥㜲㘳㜸昵㉡㤸㤳㔹捡ぢ㔷昱戵搲㡤昹摡㘰㔶戱㤴㔷㤹㠲㌹挵㡤昹摥㘰㑥㘵改て〶㜳㥡ㅢ挳㡢㌸昱㜵㍡㑢㝦㌱㤸搵㙥っ慦戸〴㜳〶㑢㜹戱㈵扥捥㜴㘳㜸㜹㈴㤸戳㔸捡㉢㈳挱㥣敤挶昰㕡㐶㌰㙢㔸捡换ㄸ挱晣挱㡤攱㠵㠷㘰捥㘱㈹慦㌹〴㜳慥ㅢ挳敢ぢ㤹ㅦ愸㐳敦昹ㄱ搷愶㈳戱〷昲㜲㐲㡡搷ㅣ愲㌸捥㔱㡣ㄲ㠵㔲扣づㄱ挵ㄲ㐷㌱ㅡち㝤㈱㡤昲㍡㐳ㅣ㕥挴ㅣ㉦㌱挴攱挵㑥㠲ㄹ挵㡢〲挱㕣挲㔲㕥て〸收㔲㌷㠶㘷㜰挱慣㘵㈹㑦摥㠲戹捣㡤攱改㔶㌰㤷戳㤴㘷㕡挱㕣攱挶昰慣㉡㑤㡤㜹㠲攳㤹㔶ㄴ㔱㑦㜰㍣晢㡡愲挲ㅤ摣㝡ㅡ攵搹㔶ㅣ㕥捤ㅣ㑦戴攲昰ㅡ㈷挱㡣攲㐹㔵慡ㅦ攳㜱㌸捡㈸收㝢ㅣ昲攴㉢㌵㡥㜶㍢扣㥥㐶㜹戲ㄵ㠷㌷㌰㔷㐲㐱愶㙦㜴ㄲ攲㤰㘷㐶挱摣挴㔲㥥ㄴ〵㜳戳ㅢ挳搳㤸㘰晥挸㔲㥥挱〴戳挱㡤攱㌹㐷㌰ㅢ㔹捡搳㡤㘰㙥㜱㘳㜸㠲㄰捣慤㉣攵戹㐱㌰户戹㌱ㅣ捤〵㜳㍢㑢㌹㤰ぢ收づ㌷愶ㅣㄹ〹㜹愶㠷㈴づ攴愲㤸攱㈱㠹㠳扢㈸愶扢㐹扡㠷㐶㌹㤸㡢挳㝢㤹攳㌸㉥づ敦㜳ㄲ捣㈸㡥扣㠲戹㥦愵ㅣ㜴〵昳㠰ㅢ㔳㙦㌰て戲㤴㈳愴㘰ㅥ㜲㘳㤶㥢搲㠷㤱㌰㥢戵〲ㄹ㌹ㄹ晤〹㠹戶慤㤴っ㔸搰㈶㘶㌹㠹戴㌸㜰〹敡㔱ㅢ㈵㐳㔶ㅡ敡㈴㠳㝡摣㐶挹愰㐵㔴㡡挷㤵〶昵㠴㡤㤲㘱㉢捤ㄶ㠷㉦昱昸㘷ㅢ㈵〳㔷ㅡ敡㌴㠳摡㙣愳㘴攸㑡昳戸摡愰㥥戶㔱㌲㜸愵搹攲㈰㈶ㅥ㥦戵㔱㌲㝣愵愱捥㌶愸攷㙤㤴っ㘰㘹㈸づ㘴㘲敢〵ㅢ㈵㐳㔸㕡扢㌸㤴〹敡㉦㠲㉡攰㈸㌴ㄷ愸㥣攵慡晣㤸㡡㘳㡥昹愱㈰户戰㕢敥㘱㘳昲慦昸攰戹扦㕤昴摡㤱愳㍥搹戱㙥摤㙢ㅦ㕤戴㜵挷㈳ぢ㐶㍤㝤摤㜵㑦ㅤ㝣捤搶扦㜵㠸㕤㥢㜳晦て㔳慦㍤戱㜸昱㠹挷挵㘶敦㍢昱挴㜹挷ㅥ㔲㍣戳㝤摦㔶慤㕡户摥扢攳㌳㕤晢㔸慢㡥㝢㔰㍤戱㙤㤷ㅡ㈵〳ㅢ㥢昱ㄲ㍣戱㠷㥣㡤㡦挵〱㑥㥡昱戲㌴㐳挹搰㐶㔴捡㙥攳㄰㈷愸㔷㙤㤴っ㙥㘹㈸づ㜲㠲㝡摤㐶挹昰㤶㠶攲㌰㈷愸扦ち慡㠰㈳搴㙦ㅡ戸っ㝡㙣挶㥢昰挴挰㔷攲㘳㜱昰㤳㘶㙣戳㥢㜱晤㙦摤っㄹち搹㡣户㥣㘶昰㈱㌴㡢㐳愲㌴攳㙤㘹㠶㤲挱㤰㈸㜳愳〱改㠰挵㐱㔱㔰敦摡㈸ㄹづ搳㔰ㅣㄶ〵昵扥㡤㤲〱㤱愸㤴㝤挹㠱㔱㔰ㅦ摡㈸ㄹㄲ搳㙣㜱㘸ㄴ搴摦㙤㤴っ㡡㘹㈸づ㡥㠲晡㔸㔰〵ㅣ搷㝥搳㝤㈹㐳㈵㥢戱ㅤ㥥戸㉦㑦挳挷攲㤰㈹捤昸㐴㥡愱㘴戰㑣㙢㉣〷㑤㐱㝤㘶愳㘴戸㑣㐳㜱搸ㄴ搴ㄷ㠲戲っ㜷㡡㘳愴㡣攴㥤㥣㤱㝣ㅣ敡收攱愵㙢ㅣㄶ㐵搱搱愳攰㐸㈸㡡づㅥ〵〷㍦㔱戴昷㈸晥㙣ㄴ㤶㐷挱㈱㑥㙡ㄴ㜸ㄴㅣ搵㐴搱捥愳攰㐰㈶㡡戶ㅥ〵挷㉥㔱攴㝢ㄴㅣ慥㐴搱挶愳攰〸㈵㡡㜰慡挲攲㐸㈲㕣晤〷〹㥣㍦㌸㠶〸㌰㉦〵愸ㄴ㠷つ㔱戴㑥㔱〴ㄴ㐷ち㔱㠴㍣ちづづ愲〸愶㉡㉣ㅥ挴攲㜳〷ㄲ昰挹挳㔷㠰慤㔲㠰捡攲㘱㈶挰㕦㙣㈰て㌰〱慡㔴愰攲㌱㈵㡡㐰㡡〲慦㌷㌳㡡㥤晦戱㉦㌰捤ㅥ攷㤱㈳㌵㝥昱㈸㜸戰㠸攲㘷㡦㠲挷㠷㈸㜶愴㉡㉣昶㘳㘹㘵㌰㑦挲㘱てㄶ攰㑦㈹㐰愵搸㘹㐵昱㘳㡡〲㍦捡㙡ㄴ㍦愴㉡㠲摣㈹㔹㝥㕦㍤㜹捦〴㥥〳扡㥡扦㐶挲扢㈷攱敡昱㌵つ搵昲晡愵㔰㌵㝦摤扡愶扤昳㑢ㄲ㝤ㄳ㤸づ㠹㤲〴戶㕤愲㐸敡散㙡晦㌶㜱㘴㐱㔵㤴㤰扥㐹愳㥤扤ㅡ挱㠳〳搲㄰攸㤵㜹攵扦㘹㘰㜷㌹敥㥡っ捣㔳慣愰㌵愲㘴愰㉡㤹㤲慣㘲㍦㈲㔵㍡㥣㐰㈴㔲㌶㠲ㅤ㐸㄰㙤ㄲ㠸㐴捡㐶㜰攷〹㈲㍦㠱㐸愴〴ㄱ愴晢㈶㌴㤹㐳㕡ぢ扦㤱戶㠵〷挵㤶搳㤵㙥挷ㅣ㕢㈹戹〲收搸㈲挹㔹捣〹㥣挴戴㘷㡥挴昰㈳搵㔸摡挱㕤㉡搵㔹摡搱㕤㉡㘶㔸摡挹㔵㙡搱㥣㜴攸捥㐸攰㐹ㄵㅡ㤲㝣ㄷ㍢㑦ㄳ㤲摦挵捥戳戲攴扢㑡㍥挸㙡晢㘵敥〴㠹摦〲㤱㕦つ㠹戳㑦昰㌱愶戶搵昶慦㐷㑢户㡤〷愵愳愶㜷攴づ㠴昷㑤㠱㠶敤㈲捡〲㍢㤹攸搱㙤ㅣㄵて㠱收㜶㘷㍥㉢㙡㍦㉦ㅡ摡㈳㜳㌰㜴㘰昷收愶愱㥣慥扣㉢㈸㘲搰攸换挹愴攴ㄵ㐹㈶㠳扡㕢ㄲ㤳㑣摡ㄸㄲ㉦㤸摤㤲㤸㘴搲挶㜰㘷〸㘶昷㈴㈶㤹ㄴ㑣〱㝤㜳㔲ㅥ㤳〵敥敤㠷㥤〵昴攸慦愱ㅦ㝦つ慤晢㙡摡晣㍦挶㥥㠹㜶</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</si>
</sst>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_);[Red]\(&quot;$&quot;#,##0\)"/>
    <numFmt numFmtId="44" formatCode="_(&quot;$&quot;* #,##0.00_);_(&quot;$&quot;* \(#,##0.00\);_(&quot;$&quot;* &quot;-&quot;??_);_(@_)"/>
    <numFmt numFmtId="164" formatCode="[$MXN]\ #,##0"/>
    <numFmt numFmtId="165" formatCode="0.000%"/>
    <numFmt numFmtId="166" formatCode="_(&quot;$&quot;* #,##0_);_(&quot;$&quot;* \(#,##0\);_(&quot;$&quot;* &quot;-&quot;??_);_(@_)"/>
    <numFmt numFmtId="167" formatCode="_(&quot;$&quot;* #,##0.00000000_);_(&quot;$&quot;* \(#,##0.00000000\);_(&quot;$&quot;* &quot;-&quot;??_);_(@_)"/>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00FF00"/>
        <bgColor indexed="64"/>
      </patternFill>
    </fill>
    <fill>
      <patternFill patternType="solid">
        <fgColor rgb="FF00FFFF"/>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32">
    <xf numFmtId="0" fontId="0" fillId="0" borderId="0" xfId="0"/>
    <xf numFmtId="164" fontId="0" fillId="0" borderId="0" xfId="0" applyNumberFormat="1"/>
    <xf numFmtId="1" fontId="0" fillId="0" borderId="0" xfId="0" applyNumberFormat="1"/>
    <xf numFmtId="0" fontId="2" fillId="0" borderId="0" xfId="0" applyFont="1"/>
    <xf numFmtId="166" fontId="0" fillId="0" borderId="0" xfId="1" applyNumberFormat="1" applyFont="1"/>
    <xf numFmtId="0" fontId="2" fillId="0" borderId="1" xfId="0" applyFont="1" applyBorder="1"/>
    <xf numFmtId="0" fontId="0" fillId="0" borderId="2" xfId="0" applyBorder="1"/>
    <xf numFmtId="0" fontId="0" fillId="0" borderId="3" xfId="0" applyBorder="1"/>
    <xf numFmtId="0" fontId="0" fillId="0" borderId="4" xfId="0" applyBorder="1"/>
    <xf numFmtId="9" fontId="0" fillId="0" borderId="0" xfId="0" applyNumberFormat="1"/>
    <xf numFmtId="0" fontId="2" fillId="0" borderId="5" xfId="0" applyFont="1" applyBorder="1"/>
    <xf numFmtId="165" fontId="0" fillId="0" borderId="0" xfId="0" applyNumberFormat="1"/>
    <xf numFmtId="0" fontId="0" fillId="0" borderId="5" xfId="0" applyBorder="1"/>
    <xf numFmtId="9" fontId="0" fillId="0" borderId="0" xfId="2" applyFont="1" applyBorder="1"/>
    <xf numFmtId="164" fontId="2" fillId="0" borderId="0" xfId="0" applyNumberFormat="1" applyFont="1" applyAlignment="1">
      <alignment horizontal="right"/>
    </xf>
    <xf numFmtId="0" fontId="2" fillId="0" borderId="0" xfId="0" applyFont="1" applyAlignment="1">
      <alignment horizontal="right"/>
    </xf>
    <xf numFmtId="0" fontId="0" fillId="0" borderId="6" xfId="0" applyBorder="1"/>
    <xf numFmtId="0" fontId="0" fillId="0" borderId="7" xfId="0" applyBorder="1"/>
    <xf numFmtId="0" fontId="0" fillId="0" borderId="8" xfId="0" applyBorder="1"/>
    <xf numFmtId="0" fontId="0" fillId="0" borderId="0" xfId="0" quotePrefix="1"/>
    <xf numFmtId="167" fontId="0" fillId="0" borderId="0" xfId="1" applyNumberFormat="1" applyFont="1"/>
    <xf numFmtId="167" fontId="0" fillId="0" borderId="0" xfId="1" applyNumberFormat="1" applyFont="1" applyBorder="1"/>
    <xf numFmtId="2" fontId="0" fillId="0" borderId="0" xfId="0" applyNumberFormat="1"/>
    <xf numFmtId="165" fontId="0" fillId="0" borderId="5" xfId="0" applyNumberFormat="1" applyBorder="1"/>
    <xf numFmtId="1" fontId="0" fillId="0" borderId="7" xfId="0" applyNumberFormat="1" applyBorder="1"/>
    <xf numFmtId="0" fontId="0" fillId="2" borderId="0" xfId="0" applyFill="1"/>
    <xf numFmtId="164" fontId="0" fillId="2" borderId="0" xfId="0" applyNumberFormat="1" applyFill="1"/>
    <xf numFmtId="9" fontId="0" fillId="2" borderId="0" xfId="0" applyNumberFormat="1" applyFill="1"/>
    <xf numFmtId="165" fontId="0" fillId="2" borderId="0" xfId="0" applyNumberFormat="1" applyFill="1"/>
    <xf numFmtId="1" fontId="0" fillId="2" borderId="0" xfId="0" applyNumberFormat="1" applyFill="1"/>
    <xf numFmtId="1" fontId="0" fillId="2" borderId="7" xfId="0" applyNumberFormat="1" applyFill="1" applyBorder="1"/>
    <xf numFmtId="6" fontId="0" fillId="3" borderId="0" xfId="0" applyNumberFormat="1" applyFill="1"/>
  </cellXfs>
  <cellStyles count="3">
    <cellStyle name="Currency" xfId="1" builtinId="4"/>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6"/>
  <sheetViews>
    <sheetView workbookViewId="0"/>
  </sheetViews>
  <sheetFormatPr defaultRowHeight="14.4" x14ac:dyDescent="0.3"/>
  <cols>
    <col min="1" max="2" width="36.6640625" customWidth="1"/>
  </cols>
  <sheetData>
    <row r="1" spans="1:16" x14ac:dyDescent="0.3">
      <c r="A1" s="3" t="s">
        <v>84</v>
      </c>
    </row>
    <row r="2" spans="1:16" x14ac:dyDescent="0.3">
      <c r="P2" t="e">
        <f ca="1">_xll.CB.RecalcCounterFN()</f>
        <v>#VALUE!</v>
      </c>
    </row>
    <row r="3" spans="1:16" x14ac:dyDescent="0.3">
      <c r="A3" t="s">
        <v>85</v>
      </c>
      <c r="B3" t="s">
        <v>86</v>
      </c>
      <c r="C3">
        <v>0</v>
      </c>
    </row>
    <row r="4" spans="1:16" x14ac:dyDescent="0.3">
      <c r="A4" t="s">
        <v>87</v>
      </c>
    </row>
    <row r="5" spans="1:16" x14ac:dyDescent="0.3">
      <c r="A5" t="s">
        <v>88</v>
      </c>
    </row>
    <row r="7" spans="1:16" x14ac:dyDescent="0.3">
      <c r="A7" s="3" t="s">
        <v>89</v>
      </c>
      <c r="B7" t="s">
        <v>90</v>
      </c>
    </row>
    <row r="8" spans="1:16" x14ac:dyDescent="0.3">
      <c r="B8">
        <v>2</v>
      </c>
    </row>
    <row r="10" spans="1:16" x14ac:dyDescent="0.3">
      <c r="A10" t="s">
        <v>91</v>
      </c>
    </row>
    <row r="11" spans="1:16" x14ac:dyDescent="0.3">
      <c r="A11" t="e">
        <f>CB_DATA_!#REF!</f>
        <v>#REF!</v>
      </c>
      <c r="B11" t="e">
        <f>'Base case'!#REF!</f>
        <v>#REF!</v>
      </c>
    </row>
    <row r="13" spans="1:16" x14ac:dyDescent="0.3">
      <c r="A13" t="s">
        <v>92</v>
      </c>
    </row>
    <row r="14" spans="1:16" x14ac:dyDescent="0.3">
      <c r="A14" t="s">
        <v>96</v>
      </c>
      <c r="B14" t="s">
        <v>99</v>
      </c>
    </row>
    <row r="16" spans="1:16" x14ac:dyDescent="0.3">
      <c r="A16" t="s">
        <v>93</v>
      </c>
    </row>
    <row r="19" spans="1:2" x14ac:dyDescent="0.3">
      <c r="A19" t="s">
        <v>94</v>
      </c>
    </row>
    <row r="20" spans="1:2" x14ac:dyDescent="0.3">
      <c r="A20">
        <v>31</v>
      </c>
      <c r="B20">
        <v>46</v>
      </c>
    </row>
    <row r="25" spans="1:2" x14ac:dyDescent="0.3">
      <c r="A25" s="3" t="s">
        <v>95</v>
      </c>
    </row>
    <row r="26" spans="1:2" x14ac:dyDescent="0.3">
      <c r="A26" s="19" t="s">
        <v>97</v>
      </c>
      <c r="B26" s="19" t="s">
        <v>113</v>
      </c>
    </row>
    <row r="27" spans="1:2" x14ac:dyDescent="0.3">
      <c r="A27" t="s">
        <v>107</v>
      </c>
      <c r="B27" t="s">
        <v>114</v>
      </c>
    </row>
    <row r="28" spans="1:2" x14ac:dyDescent="0.3">
      <c r="A28" s="19" t="s">
        <v>98</v>
      </c>
      <c r="B28" s="19" t="s">
        <v>98</v>
      </c>
    </row>
    <row r="29" spans="1:2" x14ac:dyDescent="0.3">
      <c r="A29" s="19" t="s">
        <v>100</v>
      </c>
      <c r="B29" s="19" t="s">
        <v>97</v>
      </c>
    </row>
    <row r="30" spans="1:2" x14ac:dyDescent="0.3">
      <c r="A30" t="s">
        <v>119</v>
      </c>
      <c r="B30" t="s">
        <v>108</v>
      </c>
    </row>
    <row r="31" spans="1:2" x14ac:dyDescent="0.3">
      <c r="A31" s="19" t="s">
        <v>98</v>
      </c>
      <c r="B31" s="19" t="s">
        <v>98</v>
      </c>
    </row>
    <row r="32" spans="1:2" x14ac:dyDescent="0.3">
      <c r="B32" s="19" t="s">
        <v>112</v>
      </c>
    </row>
    <row r="33" spans="2:2" x14ac:dyDescent="0.3">
      <c r="B33" t="s">
        <v>115</v>
      </c>
    </row>
    <row r="34" spans="2:2" x14ac:dyDescent="0.3">
      <c r="B34" s="19" t="s">
        <v>98</v>
      </c>
    </row>
    <row r="35" spans="2:2" x14ac:dyDescent="0.3">
      <c r="B35" s="19" t="s">
        <v>111</v>
      </c>
    </row>
    <row r="36" spans="2:2" x14ac:dyDescent="0.3">
      <c r="B36" t="s">
        <v>116</v>
      </c>
    </row>
    <row r="37" spans="2:2" x14ac:dyDescent="0.3">
      <c r="B37" s="19" t="s">
        <v>98</v>
      </c>
    </row>
    <row r="38" spans="2:2" x14ac:dyDescent="0.3">
      <c r="B38" s="19" t="s">
        <v>110</v>
      </c>
    </row>
    <row r="39" spans="2:2" x14ac:dyDescent="0.3">
      <c r="B39" t="s">
        <v>117</v>
      </c>
    </row>
    <row r="40" spans="2:2" x14ac:dyDescent="0.3">
      <c r="B40" s="19" t="s">
        <v>98</v>
      </c>
    </row>
    <row r="41" spans="2:2" x14ac:dyDescent="0.3">
      <c r="B41" s="19" t="s">
        <v>109</v>
      </c>
    </row>
    <row r="42" spans="2:2" x14ac:dyDescent="0.3">
      <c r="B42" t="s">
        <v>118</v>
      </c>
    </row>
    <row r="43" spans="2:2" x14ac:dyDescent="0.3">
      <c r="B43" s="19" t="s">
        <v>98</v>
      </c>
    </row>
    <row r="44" spans="2:2" x14ac:dyDescent="0.3">
      <c r="B44" s="19" t="s">
        <v>100</v>
      </c>
    </row>
    <row r="45" spans="2:2" x14ac:dyDescent="0.3">
      <c r="B45" t="s">
        <v>120</v>
      </c>
    </row>
    <row r="46" spans="2:2" x14ac:dyDescent="0.3">
      <c r="B46" s="19" t="s">
        <v>98</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P103"/>
  <sheetViews>
    <sheetView tabSelected="1" zoomScale="76" zoomScaleNormal="100" workbookViewId="0">
      <selection activeCell="A100" sqref="A100"/>
    </sheetView>
  </sheetViews>
  <sheetFormatPr defaultRowHeight="14.4" x14ac:dyDescent="0.3"/>
  <cols>
    <col min="1" max="1" width="32.6640625" customWidth="1"/>
    <col min="2" max="2" width="19.44140625" customWidth="1"/>
    <col min="3" max="14" width="18.5546875" customWidth="1"/>
    <col min="15" max="15" width="16.6640625" customWidth="1"/>
  </cols>
  <sheetData>
    <row r="1" spans="1:16" x14ac:dyDescent="0.3">
      <c r="A1" t="s">
        <v>0</v>
      </c>
    </row>
    <row r="2" spans="1:16" ht="15" thickBot="1" x14ac:dyDescent="0.35"/>
    <row r="3" spans="1:16" x14ac:dyDescent="0.3">
      <c r="A3" s="5" t="s">
        <v>1</v>
      </c>
      <c r="B3" s="6"/>
      <c r="C3" s="6"/>
      <c r="D3" s="6"/>
      <c r="E3" s="6"/>
      <c r="F3" s="6"/>
      <c r="G3" s="6"/>
      <c r="H3" s="6"/>
      <c r="I3" s="6"/>
      <c r="J3" s="6"/>
      <c r="K3" s="6"/>
      <c r="L3" s="6"/>
      <c r="M3" s="6"/>
      <c r="N3" s="6"/>
      <c r="O3" s="6"/>
      <c r="P3" s="7"/>
    </row>
    <row r="4" spans="1:16" x14ac:dyDescent="0.3">
      <c r="A4" s="8" t="s">
        <v>2</v>
      </c>
      <c r="B4" s="9">
        <v>0.2</v>
      </c>
      <c r="F4" s="3" t="s">
        <v>14</v>
      </c>
      <c r="G4" s="3" t="s">
        <v>15</v>
      </c>
      <c r="H4" s="3"/>
      <c r="I4" s="3"/>
      <c r="J4" s="3" t="s">
        <v>14</v>
      </c>
      <c r="K4" s="3"/>
      <c r="L4" s="3"/>
      <c r="M4" s="3"/>
      <c r="N4" s="3" t="s">
        <v>23</v>
      </c>
      <c r="O4" s="3" t="s">
        <v>14</v>
      </c>
      <c r="P4" s="10" t="s">
        <v>15</v>
      </c>
    </row>
    <row r="5" spans="1:16" x14ac:dyDescent="0.3">
      <c r="A5" s="8" t="s">
        <v>3</v>
      </c>
      <c r="B5" s="9">
        <v>0.25</v>
      </c>
      <c r="E5" t="s">
        <v>16</v>
      </c>
      <c r="F5" s="1">
        <v>2500000</v>
      </c>
      <c r="G5" s="11">
        <v>3.5E-4</v>
      </c>
      <c r="I5" t="s">
        <v>20</v>
      </c>
      <c r="J5" s="1">
        <v>750000</v>
      </c>
      <c r="L5" t="s">
        <v>22</v>
      </c>
      <c r="N5">
        <v>10</v>
      </c>
      <c r="O5" s="1">
        <v>900000</v>
      </c>
      <c r="P5" s="23">
        <v>1.4999999999999999E-4</v>
      </c>
    </row>
    <row r="6" spans="1:16" x14ac:dyDescent="0.3">
      <c r="A6" s="8" t="s">
        <v>4</v>
      </c>
      <c r="B6" s="9">
        <v>0.28999999999999998</v>
      </c>
      <c r="E6" t="s">
        <v>17</v>
      </c>
      <c r="F6" s="1">
        <v>1900000</v>
      </c>
      <c r="G6" s="11">
        <v>2.5000000000000001E-4</v>
      </c>
      <c r="I6" t="s">
        <v>20</v>
      </c>
      <c r="J6" s="1">
        <v>750000</v>
      </c>
      <c r="L6" t="s">
        <v>21</v>
      </c>
      <c r="N6">
        <v>8</v>
      </c>
      <c r="O6" s="1">
        <v>1000000</v>
      </c>
      <c r="P6" s="12"/>
    </row>
    <row r="7" spans="1:16" x14ac:dyDescent="0.3">
      <c r="A7" s="8" t="s">
        <v>5</v>
      </c>
      <c r="B7" s="21">
        <v>5.90438E-2</v>
      </c>
      <c r="C7" t="s">
        <v>68</v>
      </c>
      <c r="E7" t="s">
        <v>18</v>
      </c>
      <c r="F7" s="1">
        <v>1900000</v>
      </c>
      <c r="G7" s="11">
        <v>2.5000000000000001E-4</v>
      </c>
      <c r="I7" t="s">
        <v>20</v>
      </c>
      <c r="J7" s="1">
        <v>750000</v>
      </c>
      <c r="L7" t="s">
        <v>24</v>
      </c>
      <c r="N7">
        <v>40</v>
      </c>
      <c r="O7" s="1">
        <v>600000</v>
      </c>
      <c r="P7" s="12"/>
    </row>
    <row r="8" spans="1:16" x14ac:dyDescent="0.3">
      <c r="A8" s="8" t="s">
        <v>11</v>
      </c>
      <c r="B8" s="26">
        <v>215000000</v>
      </c>
      <c r="C8">
        <v>20</v>
      </c>
      <c r="E8" t="s">
        <v>19</v>
      </c>
      <c r="F8" s="1">
        <v>1900000</v>
      </c>
      <c r="G8" s="11">
        <v>2.5000000000000001E-4</v>
      </c>
      <c r="I8" t="s">
        <v>20</v>
      </c>
      <c r="J8" s="1">
        <v>750000</v>
      </c>
      <c r="L8" t="s">
        <v>25</v>
      </c>
      <c r="N8">
        <v>20</v>
      </c>
      <c r="O8" s="1">
        <v>400000</v>
      </c>
      <c r="P8" s="12"/>
    </row>
    <row r="9" spans="1:16" x14ac:dyDescent="0.3">
      <c r="A9" s="8" t="s">
        <v>12</v>
      </c>
      <c r="B9" s="26">
        <v>21500000</v>
      </c>
      <c r="C9">
        <v>5</v>
      </c>
      <c r="P9" s="12"/>
    </row>
    <row r="10" spans="1:16" x14ac:dyDescent="0.3">
      <c r="A10" s="8" t="s">
        <v>13</v>
      </c>
      <c r="B10" s="26">
        <v>21000000</v>
      </c>
      <c r="C10">
        <v>5</v>
      </c>
      <c r="P10" s="12"/>
    </row>
    <row r="11" spans="1:16" x14ac:dyDescent="0.3">
      <c r="A11" s="8" t="s">
        <v>67</v>
      </c>
      <c r="B11" s="13">
        <v>0.8</v>
      </c>
      <c r="P11" s="12"/>
    </row>
    <row r="12" spans="1:16" x14ac:dyDescent="0.3">
      <c r="A12" s="8"/>
      <c r="B12" s="14" t="s">
        <v>31</v>
      </c>
      <c r="C12" s="15" t="s">
        <v>103</v>
      </c>
      <c r="D12" s="15" t="s">
        <v>37</v>
      </c>
      <c r="P12" s="12"/>
    </row>
    <row r="13" spans="1:16" x14ac:dyDescent="0.3">
      <c r="A13" s="8" t="s">
        <v>26</v>
      </c>
      <c r="B13" s="1">
        <v>150000</v>
      </c>
      <c r="C13" s="25">
        <v>110</v>
      </c>
      <c r="D13" s="27">
        <v>0.5</v>
      </c>
      <c r="P13" s="12"/>
    </row>
    <row r="14" spans="1:16" x14ac:dyDescent="0.3">
      <c r="A14" s="8" t="s">
        <v>27</v>
      </c>
      <c r="B14" s="1">
        <v>200000</v>
      </c>
      <c r="C14" s="25">
        <v>125</v>
      </c>
      <c r="D14" s="27">
        <v>0.38</v>
      </c>
      <c r="P14" s="12"/>
    </row>
    <row r="15" spans="1:16" x14ac:dyDescent="0.3">
      <c r="A15" s="8" t="s">
        <v>28</v>
      </c>
      <c r="B15" s="1">
        <v>270000</v>
      </c>
      <c r="C15" s="25">
        <v>140</v>
      </c>
      <c r="D15" s="27">
        <v>0.42</v>
      </c>
      <c r="P15" s="12"/>
    </row>
    <row r="16" spans="1:16" x14ac:dyDescent="0.3">
      <c r="A16" s="8" t="s">
        <v>29</v>
      </c>
      <c r="B16" s="1">
        <v>350000</v>
      </c>
      <c r="C16" s="25">
        <v>150</v>
      </c>
      <c r="D16" s="27">
        <v>0.45</v>
      </c>
      <c r="P16" s="12"/>
    </row>
    <row r="17" spans="1:16" x14ac:dyDescent="0.3">
      <c r="A17" s="8" t="s">
        <v>30</v>
      </c>
      <c r="B17" s="1">
        <v>430000</v>
      </c>
      <c r="C17" s="25">
        <v>200</v>
      </c>
      <c r="D17" s="27">
        <v>0.33</v>
      </c>
      <c r="P17" s="12"/>
    </row>
    <row r="18" spans="1:16" x14ac:dyDescent="0.3">
      <c r="A18" s="8"/>
      <c r="B18" s="1"/>
      <c r="P18" s="12"/>
    </row>
    <row r="19" spans="1:16" x14ac:dyDescent="0.3">
      <c r="A19" s="8" t="s">
        <v>104</v>
      </c>
      <c r="B19" s="22">
        <v>3.8</v>
      </c>
      <c r="C19" s="1">
        <v>60000000</v>
      </c>
      <c r="D19" t="s">
        <v>105</v>
      </c>
      <c r="E19" s="22">
        <v>4.2</v>
      </c>
      <c r="F19" s="1">
        <v>80000000</v>
      </c>
      <c r="G19" t="s">
        <v>106</v>
      </c>
      <c r="H19">
        <v>4.8</v>
      </c>
      <c r="P19" s="12"/>
    </row>
    <row r="20" spans="1:16" x14ac:dyDescent="0.3">
      <c r="A20" s="8"/>
      <c r="B20" s="22"/>
      <c r="C20">
        <v>2025</v>
      </c>
      <c r="D20">
        <v>2026</v>
      </c>
      <c r="E20">
        <v>2027</v>
      </c>
      <c r="F20">
        <v>2028</v>
      </c>
      <c r="G20">
        <v>2029</v>
      </c>
      <c r="H20">
        <v>2030</v>
      </c>
      <c r="I20">
        <v>2031</v>
      </c>
      <c r="J20">
        <v>2032</v>
      </c>
      <c r="K20">
        <v>2033</v>
      </c>
      <c r="L20">
        <v>2034</v>
      </c>
      <c r="P20" s="12"/>
    </row>
    <row r="21" spans="1:16" x14ac:dyDescent="0.3">
      <c r="A21" s="8" t="s">
        <v>6</v>
      </c>
      <c r="C21" s="25">
        <v>0</v>
      </c>
      <c r="D21" s="25">
        <v>0</v>
      </c>
      <c r="E21" s="25">
        <v>0</v>
      </c>
      <c r="F21" s="25">
        <v>0</v>
      </c>
      <c r="G21" s="25">
        <v>0</v>
      </c>
      <c r="H21" s="25">
        <v>0</v>
      </c>
      <c r="I21" s="25">
        <v>0</v>
      </c>
      <c r="J21" s="25">
        <v>0</v>
      </c>
      <c r="K21" s="25">
        <v>0</v>
      </c>
      <c r="L21" s="25">
        <v>0</v>
      </c>
      <c r="P21" s="12"/>
    </row>
    <row r="22" spans="1:16" x14ac:dyDescent="0.3">
      <c r="A22" s="8" t="s">
        <v>7</v>
      </c>
      <c r="C22" s="28">
        <v>5.7500000000000002E-2</v>
      </c>
      <c r="D22" s="28">
        <v>5.2499999999999998E-2</v>
      </c>
      <c r="E22" s="28">
        <v>4.8500000000000001E-2</v>
      </c>
      <c r="F22" s="28">
        <v>4.8500000000000001E-2</v>
      </c>
      <c r="G22" s="28">
        <v>4.8500000000000001E-2</v>
      </c>
      <c r="H22" s="28">
        <v>4.8500000000000001E-2</v>
      </c>
      <c r="I22" s="28">
        <v>4.8500000000000001E-2</v>
      </c>
      <c r="J22" s="28">
        <v>4.8500000000000001E-2</v>
      </c>
      <c r="K22" s="28">
        <v>4.8500000000000001E-2</v>
      </c>
      <c r="L22" s="28">
        <v>4.8500000000000001E-2</v>
      </c>
      <c r="M22" s="11"/>
      <c r="N22" s="11"/>
      <c r="P22" s="12"/>
    </row>
    <row r="23" spans="1:16" x14ac:dyDescent="0.3">
      <c r="A23" s="8" t="s">
        <v>8</v>
      </c>
      <c r="C23" s="28">
        <v>0.1125</v>
      </c>
      <c r="D23" s="28">
        <v>0.115</v>
      </c>
      <c r="E23" s="28">
        <v>0.11849999999999999</v>
      </c>
      <c r="F23" s="28">
        <v>0.11849999999999999</v>
      </c>
      <c r="G23" s="28">
        <v>0.11849999999999999</v>
      </c>
      <c r="H23" s="28">
        <v>0.11849999999999999</v>
      </c>
      <c r="I23" s="28">
        <v>0.11849999999999999</v>
      </c>
      <c r="J23" s="28">
        <v>0.11849999999999999</v>
      </c>
      <c r="K23" s="28">
        <v>0.11849999999999999</v>
      </c>
      <c r="L23" s="28">
        <v>0.11849999999999999</v>
      </c>
      <c r="M23" s="11"/>
      <c r="N23" s="11"/>
      <c r="P23" s="12"/>
    </row>
    <row r="24" spans="1:16" x14ac:dyDescent="0.3">
      <c r="A24" s="8" t="s">
        <v>9</v>
      </c>
      <c r="C24" s="28">
        <v>3.2500000000000001E-2</v>
      </c>
      <c r="D24" s="28">
        <v>2.9499999999999998E-2</v>
      </c>
      <c r="E24" s="28">
        <v>2.5499999999999998E-2</v>
      </c>
      <c r="F24" s="28">
        <v>2.5499999999999998E-2</v>
      </c>
      <c r="G24" s="28">
        <v>2.5499999999999998E-2</v>
      </c>
      <c r="H24" s="28">
        <v>2.5499999999999998E-2</v>
      </c>
      <c r="I24" s="28">
        <v>2.5499999999999998E-2</v>
      </c>
      <c r="J24" s="28">
        <v>2.5499999999999998E-2</v>
      </c>
      <c r="K24" s="28">
        <v>2.5499999999999998E-2</v>
      </c>
      <c r="L24" s="28">
        <v>2.5499999999999998E-2</v>
      </c>
      <c r="M24" s="11"/>
      <c r="N24" s="11"/>
      <c r="P24" s="12"/>
    </row>
    <row r="25" spans="1:16" x14ac:dyDescent="0.3">
      <c r="A25" s="8" t="s">
        <v>10</v>
      </c>
      <c r="C25" s="28">
        <v>4.7500000000000001E-2</v>
      </c>
      <c r="D25" s="28">
        <v>4.5499999999999999E-2</v>
      </c>
      <c r="E25" s="28">
        <v>4.2500000000000003E-2</v>
      </c>
      <c r="F25" s="28">
        <v>4.2500000000000003E-2</v>
      </c>
      <c r="G25" s="28">
        <v>4.2500000000000003E-2</v>
      </c>
      <c r="H25" s="28">
        <v>4.2500000000000003E-2</v>
      </c>
      <c r="I25" s="28">
        <v>4.2500000000000003E-2</v>
      </c>
      <c r="J25" s="28">
        <v>4.2500000000000003E-2</v>
      </c>
      <c r="K25" s="28">
        <v>4.2500000000000003E-2</v>
      </c>
      <c r="L25" s="28">
        <v>4.2500000000000003E-2</v>
      </c>
      <c r="M25" s="11"/>
      <c r="N25" s="11"/>
      <c r="P25" s="12"/>
    </row>
    <row r="26" spans="1:16" x14ac:dyDescent="0.3">
      <c r="A26" s="8" t="s">
        <v>32</v>
      </c>
      <c r="D26" s="29">
        <v>2</v>
      </c>
      <c r="E26" s="29">
        <v>2</v>
      </c>
      <c r="F26" s="29">
        <v>2</v>
      </c>
      <c r="G26" s="29">
        <v>2</v>
      </c>
      <c r="H26" s="29">
        <v>2</v>
      </c>
      <c r="I26" s="29">
        <v>2</v>
      </c>
      <c r="J26" s="29">
        <v>2</v>
      </c>
      <c r="K26" s="29">
        <v>2</v>
      </c>
      <c r="L26" s="29">
        <v>2</v>
      </c>
      <c r="M26" s="2"/>
      <c r="N26" s="2"/>
      <c r="P26" s="12"/>
    </row>
    <row r="27" spans="1:16" x14ac:dyDescent="0.3">
      <c r="A27" s="8" t="s">
        <v>33</v>
      </c>
      <c r="D27" s="29">
        <v>3</v>
      </c>
      <c r="E27" s="29">
        <v>3</v>
      </c>
      <c r="F27" s="29">
        <v>3</v>
      </c>
      <c r="G27" s="29">
        <v>3</v>
      </c>
      <c r="H27" s="29">
        <v>3</v>
      </c>
      <c r="I27" s="29">
        <v>3</v>
      </c>
      <c r="J27" s="29">
        <v>3</v>
      </c>
      <c r="K27" s="29">
        <v>3</v>
      </c>
      <c r="L27" s="29">
        <v>3</v>
      </c>
      <c r="M27" s="2"/>
      <c r="N27" s="2"/>
      <c r="P27" s="12"/>
    </row>
    <row r="28" spans="1:16" x14ac:dyDescent="0.3">
      <c r="A28" s="8" t="s">
        <v>34</v>
      </c>
      <c r="D28" s="29">
        <v>3</v>
      </c>
      <c r="E28" s="29">
        <v>3</v>
      </c>
      <c r="F28" s="29">
        <v>3</v>
      </c>
      <c r="G28" s="29">
        <v>3</v>
      </c>
      <c r="H28" s="29">
        <v>3</v>
      </c>
      <c r="I28" s="29">
        <v>3</v>
      </c>
      <c r="J28" s="29">
        <v>3</v>
      </c>
      <c r="K28" s="29">
        <v>3</v>
      </c>
      <c r="L28" s="29">
        <v>3</v>
      </c>
      <c r="M28" s="2"/>
      <c r="N28" s="2"/>
      <c r="P28" s="12"/>
    </row>
    <row r="29" spans="1:16" x14ac:dyDescent="0.3">
      <c r="A29" s="8" t="s">
        <v>35</v>
      </c>
      <c r="D29" s="29">
        <v>4</v>
      </c>
      <c r="E29" s="29">
        <v>4</v>
      </c>
      <c r="F29" s="29">
        <v>4</v>
      </c>
      <c r="G29" s="29">
        <v>4</v>
      </c>
      <c r="H29" s="29">
        <v>4</v>
      </c>
      <c r="I29" s="29">
        <v>4</v>
      </c>
      <c r="J29" s="29">
        <v>4</v>
      </c>
      <c r="K29" s="29">
        <v>4</v>
      </c>
      <c r="L29" s="29">
        <v>4</v>
      </c>
      <c r="M29" s="2"/>
      <c r="N29" s="2"/>
      <c r="P29" s="12"/>
    </row>
    <row r="30" spans="1:16" ht="15" thickBot="1" x14ac:dyDescent="0.35">
      <c r="A30" s="16" t="s">
        <v>36</v>
      </c>
      <c r="B30" s="17"/>
      <c r="C30" s="17"/>
      <c r="D30" s="30">
        <v>4</v>
      </c>
      <c r="E30" s="30">
        <v>4</v>
      </c>
      <c r="F30" s="30">
        <v>4</v>
      </c>
      <c r="G30" s="30">
        <v>4</v>
      </c>
      <c r="H30" s="30">
        <v>4</v>
      </c>
      <c r="I30" s="30">
        <v>4</v>
      </c>
      <c r="J30" s="30">
        <v>4</v>
      </c>
      <c r="K30" s="30">
        <v>4</v>
      </c>
      <c r="L30" s="30">
        <v>4</v>
      </c>
      <c r="M30" s="24"/>
      <c r="N30" s="24"/>
      <c r="O30" s="17"/>
      <c r="P30" s="18"/>
    </row>
    <row r="32" spans="1:16" x14ac:dyDescent="0.3">
      <c r="A32" s="3" t="s">
        <v>83</v>
      </c>
    </row>
    <row r="33" spans="1:14" x14ac:dyDescent="0.3">
      <c r="A33" t="s">
        <v>38</v>
      </c>
      <c r="B33" s="20">
        <f>B7</f>
        <v>5.90438E-2</v>
      </c>
      <c r="C33" s="20">
        <f>B33*(1+C21)</f>
        <v>5.90438E-2</v>
      </c>
      <c r="D33" s="20">
        <f t="shared" ref="D33:L33" si="0">C33*(1+D21)</f>
        <v>5.90438E-2</v>
      </c>
      <c r="E33" s="20">
        <f t="shared" si="0"/>
        <v>5.90438E-2</v>
      </c>
      <c r="F33" s="20">
        <f t="shared" si="0"/>
        <v>5.90438E-2</v>
      </c>
      <c r="G33" s="20">
        <f t="shared" si="0"/>
        <v>5.90438E-2</v>
      </c>
      <c r="H33" s="20">
        <f t="shared" si="0"/>
        <v>5.90438E-2</v>
      </c>
      <c r="I33" s="20">
        <f t="shared" si="0"/>
        <v>5.90438E-2</v>
      </c>
      <c r="J33" s="20">
        <f t="shared" si="0"/>
        <v>5.90438E-2</v>
      </c>
      <c r="K33" s="20">
        <f t="shared" si="0"/>
        <v>5.90438E-2</v>
      </c>
      <c r="L33" s="20">
        <f t="shared" si="0"/>
        <v>5.90438E-2</v>
      </c>
      <c r="M33" s="20"/>
      <c r="N33" s="20"/>
    </row>
    <row r="34" spans="1:14" x14ac:dyDescent="0.3">
      <c r="A34" t="s">
        <v>39</v>
      </c>
      <c r="B34" s="20">
        <f>B7</f>
        <v>5.90438E-2</v>
      </c>
      <c r="C34" s="20">
        <f>B34*(1+C22)/(1+C23)</f>
        <v>5.6124780674157305E-2</v>
      </c>
      <c r="D34" s="20">
        <f t="shared" ref="D34:L34" si="1">C34*(1+D22)/(1+D23)</f>
        <v>5.2978772788834588E-2</v>
      </c>
      <c r="E34" s="20">
        <f t="shared" si="1"/>
        <v>4.9663158935264247E-2</v>
      </c>
      <c r="F34" s="20">
        <f t="shared" si="1"/>
        <v>4.6555048854380471E-2</v>
      </c>
      <c r="G34" s="20">
        <f t="shared" si="1"/>
        <v>4.3641456167919465E-2</v>
      </c>
      <c r="H34" s="20">
        <f t="shared" si="1"/>
        <v>4.0910207234746143E-2</v>
      </c>
      <c r="I34" s="20">
        <f t="shared" si="1"/>
        <v>3.8349890286661893E-2</v>
      </c>
      <c r="J34" s="20">
        <f t="shared" si="1"/>
        <v>3.5949807747487704E-2</v>
      </c>
      <c r="K34" s="20">
        <f t="shared" si="1"/>
        <v>3.369993153620103E-2</v>
      </c>
      <c r="L34" s="20">
        <f t="shared" si="1"/>
        <v>3.1590861167373072E-2</v>
      </c>
      <c r="M34" s="20"/>
      <c r="N34" s="20"/>
    </row>
    <row r="35" spans="1:14" x14ac:dyDescent="0.3">
      <c r="A35" t="s">
        <v>40</v>
      </c>
      <c r="B35" s="20">
        <f>B7</f>
        <v>5.90438E-2</v>
      </c>
      <c r="C35" s="20">
        <f>B35*(1+C24)/(1+C25)</f>
        <v>5.8198304057279229E-2</v>
      </c>
      <c r="D35" s="20">
        <f t="shared" ref="D35:L35" si="2">C35*(1+D24)/(1+D25)</f>
        <v>5.730765569294019E-2</v>
      </c>
      <c r="E35" s="20">
        <f t="shared" si="2"/>
        <v>5.6373142362695611E-2</v>
      </c>
      <c r="F35" s="20">
        <f t="shared" si="2"/>
        <v>5.5453868098747583E-2</v>
      </c>
      <c r="G35" s="20">
        <f t="shared" si="2"/>
        <v>5.4549584398336355E-2</v>
      </c>
      <c r="H35" s="20">
        <f t="shared" si="2"/>
        <v>5.3660046811025361E-2</v>
      </c>
      <c r="I35" s="20">
        <f t="shared" si="2"/>
        <v>5.2785014872620155E-2</v>
      </c>
      <c r="J35" s="20">
        <f t="shared" si="2"/>
        <v>5.1924252040164959E-2</v>
      </c>
      <c r="K35" s="20">
        <f t="shared" si="2"/>
        <v>5.1077525627999207E-2</v>
      </c>
      <c r="L35" s="20">
        <f t="shared" si="2"/>
        <v>5.0244606744856778E-2</v>
      </c>
      <c r="M35" s="20"/>
      <c r="N35" s="20"/>
    </row>
    <row r="37" spans="1:14" x14ac:dyDescent="0.3">
      <c r="A37" s="3" t="s">
        <v>42</v>
      </c>
    </row>
    <row r="38" spans="1:14" x14ac:dyDescent="0.3">
      <c r="A38" t="s">
        <v>26</v>
      </c>
      <c r="C38">
        <f>C13</f>
        <v>110</v>
      </c>
      <c r="D38" s="2">
        <f>C38+D26</f>
        <v>112</v>
      </c>
      <c r="E38" s="2">
        <f t="shared" ref="E38:L38" si="3">D38+E26</f>
        <v>114</v>
      </c>
      <c r="F38" s="2">
        <f t="shared" si="3"/>
        <v>116</v>
      </c>
      <c r="G38" s="2">
        <f t="shared" si="3"/>
        <v>118</v>
      </c>
      <c r="H38" s="2">
        <f t="shared" si="3"/>
        <v>120</v>
      </c>
      <c r="I38" s="2">
        <f t="shared" si="3"/>
        <v>122</v>
      </c>
      <c r="J38" s="2">
        <f t="shared" si="3"/>
        <v>124</v>
      </c>
      <c r="K38" s="2">
        <f t="shared" si="3"/>
        <v>126</v>
      </c>
      <c r="L38" s="2">
        <f t="shared" si="3"/>
        <v>128</v>
      </c>
      <c r="M38" s="2"/>
      <c r="N38" s="2"/>
    </row>
    <row r="39" spans="1:14" x14ac:dyDescent="0.3">
      <c r="A39" t="s">
        <v>27</v>
      </c>
      <c r="C39">
        <f>C14</f>
        <v>125</v>
      </c>
      <c r="D39" s="2">
        <f t="shared" ref="D39:L42" si="4">C39+D27</f>
        <v>128</v>
      </c>
      <c r="E39" s="2">
        <f t="shared" si="4"/>
        <v>131</v>
      </c>
      <c r="F39" s="2">
        <f t="shared" si="4"/>
        <v>134</v>
      </c>
      <c r="G39" s="2">
        <f t="shared" si="4"/>
        <v>137</v>
      </c>
      <c r="H39" s="2">
        <f t="shared" si="4"/>
        <v>140</v>
      </c>
      <c r="I39" s="2">
        <f t="shared" si="4"/>
        <v>143</v>
      </c>
      <c r="J39" s="2">
        <f t="shared" si="4"/>
        <v>146</v>
      </c>
      <c r="K39" s="2">
        <f t="shared" si="4"/>
        <v>149</v>
      </c>
      <c r="L39" s="2">
        <f t="shared" si="4"/>
        <v>152</v>
      </c>
      <c r="M39" s="2"/>
      <c r="N39" s="2"/>
    </row>
    <row r="40" spans="1:14" x14ac:dyDescent="0.3">
      <c r="A40" t="s">
        <v>28</v>
      </c>
      <c r="C40">
        <f>C15</f>
        <v>140</v>
      </c>
      <c r="D40" s="2">
        <f t="shared" si="4"/>
        <v>143</v>
      </c>
      <c r="E40" s="2">
        <f t="shared" si="4"/>
        <v>146</v>
      </c>
      <c r="F40" s="2">
        <f t="shared" si="4"/>
        <v>149</v>
      </c>
      <c r="G40" s="2">
        <f t="shared" si="4"/>
        <v>152</v>
      </c>
      <c r="H40" s="2">
        <f t="shared" si="4"/>
        <v>155</v>
      </c>
      <c r="I40" s="2">
        <f t="shared" si="4"/>
        <v>158</v>
      </c>
      <c r="J40" s="2">
        <f t="shared" si="4"/>
        <v>161</v>
      </c>
      <c r="K40" s="2">
        <f t="shared" si="4"/>
        <v>164</v>
      </c>
      <c r="L40" s="2">
        <f t="shared" si="4"/>
        <v>167</v>
      </c>
      <c r="M40" s="2"/>
      <c r="N40" s="2"/>
    </row>
    <row r="41" spans="1:14" x14ac:dyDescent="0.3">
      <c r="A41" t="s">
        <v>29</v>
      </c>
      <c r="C41">
        <f>C16</f>
        <v>150</v>
      </c>
      <c r="D41" s="2">
        <f t="shared" si="4"/>
        <v>154</v>
      </c>
      <c r="E41" s="2">
        <f t="shared" si="4"/>
        <v>158</v>
      </c>
      <c r="F41" s="2">
        <f t="shared" si="4"/>
        <v>162</v>
      </c>
      <c r="G41" s="2">
        <f t="shared" si="4"/>
        <v>166</v>
      </c>
      <c r="H41" s="2">
        <f t="shared" si="4"/>
        <v>170</v>
      </c>
      <c r="I41" s="2">
        <f t="shared" si="4"/>
        <v>174</v>
      </c>
      <c r="J41" s="2">
        <f t="shared" si="4"/>
        <v>178</v>
      </c>
      <c r="K41" s="2">
        <f t="shared" si="4"/>
        <v>182</v>
      </c>
      <c r="L41" s="2">
        <f t="shared" si="4"/>
        <v>186</v>
      </c>
      <c r="M41" s="2"/>
      <c r="N41" s="2"/>
    </row>
    <row r="42" spans="1:14" x14ac:dyDescent="0.3">
      <c r="A42" t="s">
        <v>30</v>
      </c>
      <c r="C42">
        <f>C17</f>
        <v>200</v>
      </c>
      <c r="D42" s="2">
        <f t="shared" si="4"/>
        <v>204</v>
      </c>
      <c r="E42" s="2">
        <f t="shared" si="4"/>
        <v>208</v>
      </c>
      <c r="F42" s="2">
        <f t="shared" si="4"/>
        <v>212</v>
      </c>
      <c r="G42" s="2">
        <f t="shared" si="4"/>
        <v>216</v>
      </c>
      <c r="H42" s="2">
        <f t="shared" si="4"/>
        <v>220</v>
      </c>
      <c r="I42" s="2">
        <f t="shared" si="4"/>
        <v>224</v>
      </c>
      <c r="J42" s="2">
        <f t="shared" si="4"/>
        <v>228</v>
      </c>
      <c r="K42" s="2">
        <f t="shared" si="4"/>
        <v>232</v>
      </c>
      <c r="L42" s="2">
        <f t="shared" si="4"/>
        <v>236</v>
      </c>
      <c r="M42" s="2"/>
      <c r="N42" s="2"/>
    </row>
    <row r="44" spans="1:14" x14ac:dyDescent="0.3">
      <c r="A44" s="3" t="s">
        <v>43</v>
      </c>
    </row>
    <row r="45" spans="1:14" x14ac:dyDescent="0.3">
      <c r="A45" t="s">
        <v>26</v>
      </c>
      <c r="C45" s="1">
        <f>B13</f>
        <v>150000</v>
      </c>
      <c r="D45" s="1">
        <f>C45*(1+C$25)</f>
        <v>157125.00000000003</v>
      </c>
      <c r="E45" s="1">
        <f t="shared" ref="E45:L45" si="5">D45*(1+D$25)</f>
        <v>164274.18750000006</v>
      </c>
      <c r="F45" s="1">
        <f t="shared" si="5"/>
        <v>171255.84046875004</v>
      </c>
      <c r="G45" s="1">
        <f t="shared" si="5"/>
        <v>178534.21368867191</v>
      </c>
      <c r="H45" s="1">
        <f t="shared" si="5"/>
        <v>186121.91777044046</v>
      </c>
      <c r="I45" s="1">
        <f t="shared" si="5"/>
        <v>194032.09927568419</v>
      </c>
      <c r="J45" s="1">
        <f t="shared" si="5"/>
        <v>202278.46349490076</v>
      </c>
      <c r="K45" s="1">
        <f t="shared" si="5"/>
        <v>210875.29819343405</v>
      </c>
      <c r="L45" s="1">
        <f t="shared" si="5"/>
        <v>219837.498366655</v>
      </c>
      <c r="M45" s="1"/>
      <c r="N45" s="1"/>
    </row>
    <row r="46" spans="1:14" x14ac:dyDescent="0.3">
      <c r="A46" t="s">
        <v>27</v>
      </c>
      <c r="C46" s="1">
        <f t="shared" ref="C46:C49" si="6">B14</f>
        <v>200000</v>
      </c>
      <c r="D46" s="1">
        <f t="shared" ref="D46:L49" si="7">C46*(1+C$25)</f>
        <v>209500.00000000003</v>
      </c>
      <c r="E46" s="1">
        <f t="shared" si="7"/>
        <v>219032.25000000006</v>
      </c>
      <c r="F46" s="1">
        <f t="shared" si="7"/>
        <v>228341.12062500007</v>
      </c>
      <c r="G46" s="1">
        <f t="shared" si="7"/>
        <v>238045.61825156256</v>
      </c>
      <c r="H46" s="1">
        <f t="shared" si="7"/>
        <v>248162.55702725396</v>
      </c>
      <c r="I46" s="1">
        <f t="shared" si="7"/>
        <v>258709.46570091226</v>
      </c>
      <c r="J46" s="1">
        <f t="shared" si="7"/>
        <v>269704.61799320101</v>
      </c>
      <c r="K46" s="1">
        <f t="shared" si="7"/>
        <v>281167.06425791205</v>
      </c>
      <c r="L46" s="1">
        <f t="shared" si="7"/>
        <v>293116.66448887333</v>
      </c>
      <c r="M46" s="1"/>
      <c r="N46" s="1"/>
    </row>
    <row r="47" spans="1:14" x14ac:dyDescent="0.3">
      <c r="A47" t="s">
        <v>28</v>
      </c>
      <c r="C47" s="1">
        <f t="shared" si="6"/>
        <v>270000</v>
      </c>
      <c r="D47" s="1">
        <f t="shared" si="7"/>
        <v>282825</v>
      </c>
      <c r="E47" s="1">
        <f t="shared" si="7"/>
        <v>295693.53750000003</v>
      </c>
      <c r="F47" s="1">
        <f t="shared" si="7"/>
        <v>308260.51284375001</v>
      </c>
      <c r="G47" s="1">
        <f t="shared" si="7"/>
        <v>321361.58463960938</v>
      </c>
      <c r="H47" s="1">
        <f t="shared" si="7"/>
        <v>335019.45198679279</v>
      </c>
      <c r="I47" s="1">
        <f t="shared" si="7"/>
        <v>349257.77869623149</v>
      </c>
      <c r="J47" s="1">
        <f t="shared" si="7"/>
        <v>364101.2342908213</v>
      </c>
      <c r="K47" s="1">
        <f t="shared" si="7"/>
        <v>379575.53674818121</v>
      </c>
      <c r="L47" s="1">
        <f t="shared" si="7"/>
        <v>395707.49705997889</v>
      </c>
      <c r="M47" s="1"/>
      <c r="N47" s="1"/>
    </row>
    <row r="48" spans="1:14" x14ac:dyDescent="0.3">
      <c r="A48" t="s">
        <v>29</v>
      </c>
      <c r="C48" s="1">
        <f t="shared" si="6"/>
        <v>350000</v>
      </c>
      <c r="D48" s="1">
        <f t="shared" si="7"/>
        <v>366625.00000000006</v>
      </c>
      <c r="E48" s="1">
        <f t="shared" si="7"/>
        <v>383306.43750000012</v>
      </c>
      <c r="F48" s="1">
        <f t="shared" si="7"/>
        <v>399596.96109375014</v>
      </c>
      <c r="G48" s="1">
        <f t="shared" si="7"/>
        <v>416579.83194023452</v>
      </c>
      <c r="H48" s="1">
        <f t="shared" si="7"/>
        <v>434284.47479769448</v>
      </c>
      <c r="I48" s="1">
        <f t="shared" si="7"/>
        <v>452741.56497659651</v>
      </c>
      <c r="J48" s="1">
        <f t="shared" si="7"/>
        <v>471983.08148810186</v>
      </c>
      <c r="K48" s="1">
        <f t="shared" si="7"/>
        <v>492042.36245134618</v>
      </c>
      <c r="L48" s="1">
        <f t="shared" si="7"/>
        <v>512954.16285552841</v>
      </c>
      <c r="M48" s="1"/>
      <c r="N48" s="1"/>
    </row>
    <row r="49" spans="1:14" x14ac:dyDescent="0.3">
      <c r="A49" t="s">
        <v>30</v>
      </c>
      <c r="C49" s="1">
        <f t="shared" si="6"/>
        <v>430000</v>
      </c>
      <c r="D49" s="1">
        <f t="shared" si="7"/>
        <v>450425.00000000006</v>
      </c>
      <c r="E49" s="1">
        <f t="shared" si="7"/>
        <v>470919.33750000008</v>
      </c>
      <c r="F49" s="1">
        <f t="shared" si="7"/>
        <v>490933.4093437501</v>
      </c>
      <c r="G49" s="1">
        <f t="shared" si="7"/>
        <v>511798.07924085949</v>
      </c>
      <c r="H49" s="1">
        <f t="shared" si="7"/>
        <v>533549.49760859599</v>
      </c>
      <c r="I49" s="1">
        <f t="shared" si="7"/>
        <v>556225.35125696135</v>
      </c>
      <c r="J49" s="1">
        <f t="shared" si="7"/>
        <v>579864.92868538224</v>
      </c>
      <c r="K49" s="1">
        <f t="shared" si="7"/>
        <v>604509.18815451092</v>
      </c>
      <c r="L49" s="1">
        <f t="shared" si="7"/>
        <v>630200.82865107758</v>
      </c>
      <c r="M49" s="1"/>
      <c r="N49" s="1"/>
    </row>
    <row r="50" spans="1:14" x14ac:dyDescent="0.3">
      <c r="C50" s="1"/>
      <c r="D50" s="1"/>
      <c r="E50" s="1"/>
      <c r="F50" s="1"/>
      <c r="G50" s="1"/>
      <c r="H50" s="1"/>
      <c r="I50" s="1"/>
      <c r="J50" s="1"/>
      <c r="K50" s="1"/>
      <c r="L50" s="1"/>
      <c r="M50" s="1"/>
      <c r="N50" s="1"/>
    </row>
    <row r="51" spans="1:14" x14ac:dyDescent="0.3">
      <c r="C51" s="1"/>
      <c r="D51" s="1"/>
      <c r="E51" s="1"/>
      <c r="F51" s="1"/>
      <c r="G51" s="1"/>
      <c r="H51" s="1"/>
      <c r="I51" s="1"/>
      <c r="J51" s="1"/>
      <c r="K51" s="1"/>
      <c r="L51" s="1"/>
      <c r="M51" s="1"/>
      <c r="N51" s="1"/>
    </row>
    <row r="52" spans="1:14" x14ac:dyDescent="0.3">
      <c r="A52" s="3" t="s">
        <v>41</v>
      </c>
      <c r="C52" s="1"/>
      <c r="D52" s="1"/>
      <c r="E52" s="1"/>
      <c r="F52" s="1"/>
      <c r="G52" s="1"/>
      <c r="H52" s="1"/>
      <c r="I52" s="1"/>
      <c r="J52" s="1"/>
      <c r="K52" s="1"/>
      <c r="L52" s="1"/>
      <c r="M52" s="1"/>
      <c r="N52" s="1"/>
    </row>
    <row r="53" spans="1:14" x14ac:dyDescent="0.3">
      <c r="A53" t="s">
        <v>26</v>
      </c>
      <c r="C53" s="1">
        <f>C38*C45</f>
        <v>16500000</v>
      </c>
      <c r="D53" s="1">
        <f t="shared" ref="D53:L53" si="8">D38*D45</f>
        <v>17598000.000000004</v>
      </c>
      <c r="E53" s="1">
        <f t="shared" si="8"/>
        <v>18727257.375000007</v>
      </c>
      <c r="F53" s="1">
        <f t="shared" si="8"/>
        <v>19865677.494375005</v>
      </c>
      <c r="G53" s="1">
        <f t="shared" si="8"/>
        <v>21067037.215263285</v>
      </c>
      <c r="H53" s="1">
        <f t="shared" si="8"/>
        <v>22334630.132452853</v>
      </c>
      <c r="I53" s="1">
        <f t="shared" si="8"/>
        <v>23671916.111633472</v>
      </c>
      <c r="J53" s="1">
        <f t="shared" si="8"/>
        <v>25082529.473367695</v>
      </c>
      <c r="K53" s="1">
        <f t="shared" si="8"/>
        <v>26570287.57237269</v>
      </c>
      <c r="L53" s="1">
        <f t="shared" si="8"/>
        <v>28139199.790931839</v>
      </c>
      <c r="M53" s="1"/>
      <c r="N53" s="1"/>
    </row>
    <row r="54" spans="1:14" x14ac:dyDescent="0.3">
      <c r="A54" t="s">
        <v>27</v>
      </c>
      <c r="C54" s="1">
        <f t="shared" ref="C54:L57" si="9">C39*C46</f>
        <v>25000000</v>
      </c>
      <c r="D54" s="1">
        <f t="shared" si="9"/>
        <v>26816000.000000004</v>
      </c>
      <c r="E54" s="1">
        <f t="shared" si="9"/>
        <v>28693224.750000007</v>
      </c>
      <c r="F54" s="1">
        <f t="shared" si="9"/>
        <v>30597710.163750008</v>
      </c>
      <c r="G54" s="1">
        <f t="shared" si="9"/>
        <v>32612249.70046407</v>
      </c>
      <c r="H54" s="1">
        <f t="shared" si="9"/>
        <v>34742757.983815558</v>
      </c>
      <c r="I54" s="1">
        <f t="shared" si="9"/>
        <v>36995453.595230453</v>
      </c>
      <c r="J54" s="1">
        <f t="shared" si="9"/>
        <v>39376874.227007344</v>
      </c>
      <c r="K54" s="1">
        <f t="shared" si="9"/>
        <v>41893892.574428894</v>
      </c>
      <c r="L54" s="1">
        <f t="shared" si="9"/>
        <v>44553733.002308749</v>
      </c>
      <c r="M54" s="1"/>
      <c r="N54" s="1"/>
    </row>
    <row r="55" spans="1:14" x14ac:dyDescent="0.3">
      <c r="A55" t="s">
        <v>28</v>
      </c>
      <c r="C55" s="1">
        <f t="shared" si="9"/>
        <v>37800000</v>
      </c>
      <c r="D55" s="1">
        <f t="shared" si="9"/>
        <v>40443975</v>
      </c>
      <c r="E55" s="1">
        <f t="shared" si="9"/>
        <v>43171256.475000001</v>
      </c>
      <c r="F55" s="1">
        <f t="shared" si="9"/>
        <v>45930816.413718753</v>
      </c>
      <c r="G55" s="1">
        <f t="shared" si="9"/>
        <v>48846960.865220629</v>
      </c>
      <c r="H55" s="1">
        <f t="shared" si="9"/>
        <v>51928015.057952881</v>
      </c>
      <c r="I55" s="1">
        <f t="shared" si="9"/>
        <v>55182729.034004577</v>
      </c>
      <c r="J55" s="1">
        <f t="shared" si="9"/>
        <v>58620298.72082223</v>
      </c>
      <c r="K55" s="1">
        <f t="shared" si="9"/>
        <v>62250388.026701719</v>
      </c>
      <c r="L55" s="1">
        <f t="shared" si="9"/>
        <v>66083152.009016477</v>
      </c>
      <c r="M55" s="1"/>
      <c r="N55" s="1"/>
    </row>
    <row r="56" spans="1:14" x14ac:dyDescent="0.3">
      <c r="A56" t="s">
        <v>29</v>
      </c>
      <c r="C56" s="1">
        <f t="shared" si="9"/>
        <v>52500000</v>
      </c>
      <c r="D56" s="1">
        <f t="shared" si="9"/>
        <v>56460250.000000007</v>
      </c>
      <c r="E56" s="1">
        <f t="shared" si="9"/>
        <v>60562417.125000015</v>
      </c>
      <c r="F56" s="1">
        <f t="shared" si="9"/>
        <v>64734707.697187521</v>
      </c>
      <c r="G56" s="1">
        <f t="shared" si="9"/>
        <v>69152252.10207893</v>
      </c>
      <c r="H56" s="1">
        <f t="shared" si="9"/>
        <v>73828360.71560806</v>
      </c>
      <c r="I56" s="1">
        <f t="shared" si="9"/>
        <v>78777032.305927798</v>
      </c>
      <c r="J56" s="1">
        <f t="shared" si="9"/>
        <v>84012988.504882127</v>
      </c>
      <c r="K56" s="1">
        <f t="shared" si="9"/>
        <v>89551709.966145009</v>
      </c>
      <c r="L56" s="1">
        <f t="shared" si="9"/>
        <v>95409474.291128278</v>
      </c>
      <c r="M56" s="1"/>
      <c r="N56" s="1"/>
    </row>
    <row r="57" spans="1:14" x14ac:dyDescent="0.3">
      <c r="A57" t="s">
        <v>30</v>
      </c>
      <c r="C57" s="1">
        <f t="shared" si="9"/>
        <v>86000000</v>
      </c>
      <c r="D57" s="1">
        <f t="shared" si="9"/>
        <v>91886700.000000015</v>
      </c>
      <c r="E57" s="1">
        <f t="shared" si="9"/>
        <v>97951222.200000018</v>
      </c>
      <c r="F57" s="1">
        <f t="shared" si="9"/>
        <v>104077882.78087503</v>
      </c>
      <c r="G57" s="1">
        <f t="shared" si="9"/>
        <v>110548385.11602566</v>
      </c>
      <c r="H57" s="1">
        <f t="shared" si="9"/>
        <v>117380889.47389112</v>
      </c>
      <c r="I57" s="1">
        <f t="shared" si="9"/>
        <v>124594478.68155934</v>
      </c>
      <c r="J57" s="1">
        <f t="shared" si="9"/>
        <v>132209203.74026716</v>
      </c>
      <c r="K57" s="1">
        <f t="shared" si="9"/>
        <v>140246131.65184653</v>
      </c>
      <c r="L57" s="1">
        <f t="shared" si="9"/>
        <v>148727395.5616543</v>
      </c>
      <c r="M57" s="1"/>
      <c r="N57" s="1"/>
    </row>
    <row r="58" spans="1:14" x14ac:dyDescent="0.3">
      <c r="C58" s="1"/>
      <c r="D58" s="1"/>
      <c r="E58" s="1"/>
      <c r="F58" s="1"/>
      <c r="G58" s="1"/>
      <c r="H58" s="1"/>
      <c r="I58" s="1"/>
      <c r="J58" s="1"/>
      <c r="K58" s="1"/>
      <c r="L58" s="1"/>
      <c r="M58" s="1"/>
      <c r="N58" s="1"/>
    </row>
    <row r="59" spans="1:14" x14ac:dyDescent="0.3">
      <c r="A59" s="3" t="s">
        <v>44</v>
      </c>
      <c r="C59" s="1">
        <f>SUM(C53:C57)</f>
        <v>217800000</v>
      </c>
      <c r="D59" s="1">
        <f t="shared" ref="D59:L59" si="10">SUM(D53:D57)</f>
        <v>233204925</v>
      </c>
      <c r="E59" s="1">
        <f t="shared" si="10"/>
        <v>249105377.92500004</v>
      </c>
      <c r="F59" s="1">
        <f t="shared" si="10"/>
        <v>265206794.54990631</v>
      </c>
      <c r="G59" s="1">
        <f t="shared" si="10"/>
        <v>282226884.99905252</v>
      </c>
      <c r="H59" s="1">
        <f t="shared" si="10"/>
        <v>300214653.36372048</v>
      </c>
      <c r="I59" s="1">
        <f t="shared" si="10"/>
        <v>319221609.72835565</v>
      </c>
      <c r="J59" s="1">
        <f t="shared" si="10"/>
        <v>339301894.66634655</v>
      </c>
      <c r="K59" s="1">
        <f t="shared" si="10"/>
        <v>360512409.79149485</v>
      </c>
      <c r="L59" s="1">
        <f t="shared" si="10"/>
        <v>382912954.65503967</v>
      </c>
      <c r="M59" s="1"/>
      <c r="N59" s="1"/>
    </row>
    <row r="60" spans="1:14" x14ac:dyDescent="0.3">
      <c r="C60" s="1"/>
      <c r="D60" s="1"/>
      <c r="E60" s="1"/>
      <c r="F60" s="1"/>
      <c r="G60" s="1"/>
      <c r="H60" s="1"/>
      <c r="I60" s="1"/>
      <c r="J60" s="1"/>
      <c r="K60" s="1"/>
      <c r="L60" s="1"/>
      <c r="M60" s="1"/>
      <c r="N60" s="1"/>
    </row>
    <row r="61" spans="1:14" x14ac:dyDescent="0.3">
      <c r="C61" s="1"/>
      <c r="D61" s="1"/>
      <c r="E61" s="1"/>
      <c r="F61" s="1"/>
      <c r="G61" s="1"/>
      <c r="H61" s="1"/>
      <c r="I61" s="1"/>
      <c r="J61" s="1"/>
      <c r="K61" s="1"/>
      <c r="L61" s="1"/>
      <c r="M61" s="1"/>
      <c r="N61" s="1"/>
    </row>
    <row r="62" spans="1:14" x14ac:dyDescent="0.3">
      <c r="A62" s="3" t="s">
        <v>45</v>
      </c>
      <c r="C62" s="1"/>
      <c r="D62" s="1"/>
      <c r="E62" s="1"/>
      <c r="F62" s="1"/>
      <c r="G62" s="1"/>
      <c r="H62" s="1"/>
      <c r="I62" s="1"/>
      <c r="J62" s="1"/>
      <c r="K62" s="1"/>
      <c r="L62" s="1"/>
      <c r="M62" s="1"/>
      <c r="N62" s="1"/>
    </row>
    <row r="63" spans="1:14" x14ac:dyDescent="0.3">
      <c r="A63" t="s">
        <v>46</v>
      </c>
      <c r="C63" s="1">
        <f>F5</f>
        <v>2500000</v>
      </c>
      <c r="D63" s="1">
        <f>C63*(1+C25)</f>
        <v>2618750.0000000005</v>
      </c>
      <c r="E63" s="1">
        <f t="shared" ref="E63:L63" si="11">D63*(1+D25)</f>
        <v>2737903.1250000009</v>
      </c>
      <c r="F63" s="1">
        <f t="shared" si="11"/>
        <v>2854264.0078125009</v>
      </c>
      <c r="G63" s="1">
        <f t="shared" si="11"/>
        <v>2975570.2281445321</v>
      </c>
      <c r="H63" s="1">
        <f t="shared" si="11"/>
        <v>3102031.9628406744</v>
      </c>
      <c r="I63" s="1">
        <f t="shared" si="11"/>
        <v>3233868.3212614032</v>
      </c>
      <c r="J63" s="1">
        <f t="shared" si="11"/>
        <v>3371307.7249150127</v>
      </c>
      <c r="K63" s="1">
        <f t="shared" si="11"/>
        <v>3514588.3032239005</v>
      </c>
      <c r="L63" s="1">
        <f t="shared" si="11"/>
        <v>3663958.3061109162</v>
      </c>
      <c r="M63" s="1"/>
      <c r="N63" s="1"/>
    </row>
    <row r="64" spans="1:14" x14ac:dyDescent="0.3">
      <c r="A64" t="s">
        <v>47</v>
      </c>
      <c r="C64" s="1">
        <f>C59*$G$5</f>
        <v>76230</v>
      </c>
      <c r="D64" s="1">
        <f t="shared" ref="D64:L64" si="12">D59*$G$5</f>
        <v>81621.723750000005</v>
      </c>
      <c r="E64" s="1">
        <f t="shared" si="12"/>
        <v>87186.882273750016</v>
      </c>
      <c r="F64" s="1">
        <f t="shared" si="12"/>
        <v>92822.378092467203</v>
      </c>
      <c r="G64" s="1">
        <f t="shared" si="12"/>
        <v>98779.409749668383</v>
      </c>
      <c r="H64" s="1">
        <f t="shared" si="12"/>
        <v>105075.12867730217</v>
      </c>
      <c r="I64" s="1">
        <f t="shared" si="12"/>
        <v>111727.56340492447</v>
      </c>
      <c r="J64" s="1">
        <f t="shared" si="12"/>
        <v>118755.66313322129</v>
      </c>
      <c r="K64" s="1">
        <f t="shared" si="12"/>
        <v>126179.3434270232</v>
      </c>
      <c r="L64" s="1">
        <f t="shared" si="12"/>
        <v>134019.53412926389</v>
      </c>
      <c r="M64" s="1"/>
      <c r="N64" s="1"/>
    </row>
    <row r="65" spans="1:14" x14ac:dyDescent="0.3">
      <c r="A65" t="s">
        <v>48</v>
      </c>
      <c r="C65" s="1">
        <f>F6</f>
        <v>1900000</v>
      </c>
      <c r="D65" s="1">
        <f>C65*(1+C25)</f>
        <v>1990250.0000000002</v>
      </c>
      <c r="E65" s="1">
        <f t="shared" ref="E65:L65" si="13">D65*(1+D25)</f>
        <v>2080806.3750000005</v>
      </c>
      <c r="F65" s="1">
        <f t="shared" si="13"/>
        <v>2169240.6459375005</v>
      </c>
      <c r="G65" s="1">
        <f t="shared" si="13"/>
        <v>2261433.3733898443</v>
      </c>
      <c r="H65" s="1">
        <f t="shared" si="13"/>
        <v>2357544.2917589126</v>
      </c>
      <c r="I65" s="1">
        <f t="shared" si="13"/>
        <v>2457739.9241586663</v>
      </c>
      <c r="J65" s="1">
        <f t="shared" si="13"/>
        <v>2562193.8709354093</v>
      </c>
      <c r="K65" s="1">
        <f t="shared" si="13"/>
        <v>2671087.1104501639</v>
      </c>
      <c r="L65" s="1">
        <f t="shared" si="13"/>
        <v>2784608.3126442959</v>
      </c>
      <c r="M65" s="1"/>
      <c r="N65" s="1"/>
    </row>
    <row r="66" spans="1:14" x14ac:dyDescent="0.3">
      <c r="A66" t="s">
        <v>49</v>
      </c>
      <c r="C66" s="1">
        <f>C59*$G$6</f>
        <v>54450</v>
      </c>
      <c r="D66" s="1">
        <f t="shared" ref="D66:L66" si="14">D59*$G$6</f>
        <v>58301.231250000004</v>
      </c>
      <c r="E66" s="1">
        <f t="shared" si="14"/>
        <v>62276.344481250009</v>
      </c>
      <c r="F66" s="1">
        <f t="shared" si="14"/>
        <v>66301.698637476584</v>
      </c>
      <c r="G66" s="1">
        <f t="shared" si="14"/>
        <v>70556.721249763126</v>
      </c>
      <c r="H66" s="1">
        <f t="shared" si="14"/>
        <v>75053.663340930114</v>
      </c>
      <c r="I66" s="1">
        <f t="shared" si="14"/>
        <v>79805.402432088915</v>
      </c>
      <c r="J66" s="1">
        <f t="shared" si="14"/>
        <v>84825.473666586637</v>
      </c>
      <c r="K66" s="1">
        <f t="shared" si="14"/>
        <v>90128.102447873709</v>
      </c>
      <c r="L66" s="1">
        <f t="shared" si="14"/>
        <v>95728.238663759912</v>
      </c>
      <c r="M66" s="1"/>
      <c r="N66" s="1"/>
    </row>
    <row r="67" spans="1:14" x14ac:dyDescent="0.3">
      <c r="A67" t="s">
        <v>50</v>
      </c>
      <c r="C67" s="1">
        <f>F7</f>
        <v>1900000</v>
      </c>
      <c r="D67" s="1">
        <f>C67*(1+C25)</f>
        <v>1990250.0000000002</v>
      </c>
      <c r="E67" s="1">
        <f t="shared" ref="E67:L67" si="15">D67*(1+D25)</f>
        <v>2080806.3750000005</v>
      </c>
      <c r="F67" s="1">
        <f t="shared" si="15"/>
        <v>2169240.6459375005</v>
      </c>
      <c r="G67" s="1">
        <f t="shared" si="15"/>
        <v>2261433.3733898443</v>
      </c>
      <c r="H67" s="1">
        <f t="shared" si="15"/>
        <v>2357544.2917589126</v>
      </c>
      <c r="I67" s="1">
        <f t="shared" si="15"/>
        <v>2457739.9241586663</v>
      </c>
      <c r="J67" s="1">
        <f t="shared" si="15"/>
        <v>2562193.8709354093</v>
      </c>
      <c r="K67" s="1">
        <f t="shared" si="15"/>
        <v>2671087.1104501639</v>
      </c>
      <c r="L67" s="1">
        <f t="shared" si="15"/>
        <v>2784608.3126442959</v>
      </c>
      <c r="M67" s="1"/>
      <c r="N67" s="1"/>
    </row>
    <row r="68" spans="1:14" x14ac:dyDescent="0.3">
      <c r="A68" t="s">
        <v>51</v>
      </c>
      <c r="C68" s="1">
        <f>C59*$G$7</f>
        <v>54450</v>
      </c>
      <c r="D68" s="1">
        <f t="shared" ref="D68:L68" si="16">D59*$G$7</f>
        <v>58301.231250000004</v>
      </c>
      <c r="E68" s="1">
        <f t="shared" si="16"/>
        <v>62276.344481250009</v>
      </c>
      <c r="F68" s="1">
        <f t="shared" si="16"/>
        <v>66301.698637476584</v>
      </c>
      <c r="G68" s="1">
        <f t="shared" si="16"/>
        <v>70556.721249763126</v>
      </c>
      <c r="H68" s="1">
        <f t="shared" si="16"/>
        <v>75053.663340930114</v>
      </c>
      <c r="I68" s="1">
        <f t="shared" si="16"/>
        <v>79805.402432088915</v>
      </c>
      <c r="J68" s="1">
        <f t="shared" si="16"/>
        <v>84825.473666586637</v>
      </c>
      <c r="K68" s="1">
        <f t="shared" si="16"/>
        <v>90128.102447873709</v>
      </c>
      <c r="L68" s="1">
        <f t="shared" si="16"/>
        <v>95728.238663759912</v>
      </c>
      <c r="M68" s="1"/>
      <c r="N68" s="1"/>
    </row>
    <row r="69" spans="1:14" x14ac:dyDescent="0.3">
      <c r="A69" t="s">
        <v>52</v>
      </c>
      <c r="C69" s="1">
        <f>F8</f>
        <v>1900000</v>
      </c>
      <c r="D69" s="1">
        <f>C69*(1+C25)</f>
        <v>1990250.0000000002</v>
      </c>
      <c r="E69" s="1">
        <f t="shared" ref="E69:L69" si="17">D69*(1+D25)</f>
        <v>2080806.3750000005</v>
      </c>
      <c r="F69" s="1">
        <f t="shared" si="17"/>
        <v>2169240.6459375005</v>
      </c>
      <c r="G69" s="1">
        <f t="shared" si="17"/>
        <v>2261433.3733898443</v>
      </c>
      <c r="H69" s="1">
        <f t="shared" si="17"/>
        <v>2357544.2917589126</v>
      </c>
      <c r="I69" s="1">
        <f t="shared" si="17"/>
        <v>2457739.9241586663</v>
      </c>
      <c r="J69" s="1">
        <f t="shared" si="17"/>
        <v>2562193.8709354093</v>
      </c>
      <c r="K69" s="1">
        <f t="shared" si="17"/>
        <v>2671087.1104501639</v>
      </c>
      <c r="L69" s="1">
        <f t="shared" si="17"/>
        <v>2784608.3126442959</v>
      </c>
      <c r="M69" s="1"/>
      <c r="N69" s="1"/>
    </row>
    <row r="70" spans="1:14" x14ac:dyDescent="0.3">
      <c r="A70" t="s">
        <v>53</v>
      </c>
      <c r="C70" s="1">
        <f>C59*$G$8</f>
        <v>54450</v>
      </c>
      <c r="D70" s="1">
        <f t="shared" ref="D70:L70" si="18">D59*$G$8</f>
        <v>58301.231250000004</v>
      </c>
      <c r="E70" s="1">
        <f t="shared" si="18"/>
        <v>62276.344481250009</v>
      </c>
      <c r="F70" s="1">
        <f t="shared" si="18"/>
        <v>66301.698637476584</v>
      </c>
      <c r="G70" s="1">
        <f t="shared" si="18"/>
        <v>70556.721249763126</v>
      </c>
      <c r="H70" s="1">
        <f t="shared" si="18"/>
        <v>75053.663340930114</v>
      </c>
      <c r="I70" s="1">
        <f t="shared" si="18"/>
        <v>79805.402432088915</v>
      </c>
      <c r="J70" s="1">
        <f t="shared" si="18"/>
        <v>84825.473666586637</v>
      </c>
      <c r="K70" s="1">
        <f t="shared" si="18"/>
        <v>90128.102447873709</v>
      </c>
      <c r="L70" s="1">
        <f t="shared" si="18"/>
        <v>95728.238663759912</v>
      </c>
      <c r="M70" s="1"/>
      <c r="N70" s="1"/>
    </row>
    <row r="71" spans="1:14" x14ac:dyDescent="0.3">
      <c r="A71" t="s">
        <v>102</v>
      </c>
      <c r="C71" s="1">
        <f>J5+J6+J7+J8</f>
        <v>3000000</v>
      </c>
      <c r="D71" s="1">
        <f>C71*(1+C25)</f>
        <v>3142500.0000000005</v>
      </c>
      <c r="E71" s="1">
        <f t="shared" ref="E71:L71" si="19">D71*(1+D25)</f>
        <v>3285483.7500000009</v>
      </c>
      <c r="F71" s="1">
        <f t="shared" si="19"/>
        <v>3425116.8093750011</v>
      </c>
      <c r="G71" s="1">
        <f t="shared" si="19"/>
        <v>3570684.2737734388</v>
      </c>
      <c r="H71" s="1">
        <f t="shared" si="19"/>
        <v>3722438.3554088101</v>
      </c>
      <c r="I71" s="1">
        <f t="shared" si="19"/>
        <v>3880641.9855136843</v>
      </c>
      <c r="J71" s="1">
        <f t="shared" si="19"/>
        <v>4045569.269898016</v>
      </c>
      <c r="K71" s="1">
        <f t="shared" si="19"/>
        <v>4217505.9638686813</v>
      </c>
      <c r="L71" s="1">
        <f t="shared" si="19"/>
        <v>4396749.9673330998</v>
      </c>
      <c r="M71" s="1"/>
      <c r="N71" s="1"/>
    </row>
    <row r="72" spans="1:14" x14ac:dyDescent="0.3">
      <c r="A72" t="s">
        <v>54</v>
      </c>
      <c r="C72" s="1">
        <f>N5*O5</f>
        <v>9000000</v>
      </c>
      <c r="D72" s="1">
        <f>C72*(1+C25)</f>
        <v>9427500</v>
      </c>
      <c r="E72" s="1">
        <f t="shared" ref="E72:L72" si="20">D72*(1+D25)</f>
        <v>9856451.25</v>
      </c>
      <c r="F72" s="1">
        <f t="shared" si="20"/>
        <v>10275350.428125</v>
      </c>
      <c r="G72" s="1">
        <f t="shared" si="20"/>
        <v>10712052.821320312</v>
      </c>
      <c r="H72" s="1">
        <f t="shared" si="20"/>
        <v>11167315.066226425</v>
      </c>
      <c r="I72" s="1">
        <f t="shared" si="20"/>
        <v>11641925.956541048</v>
      </c>
      <c r="J72" s="1">
        <f t="shared" si="20"/>
        <v>12136707.809694042</v>
      </c>
      <c r="K72" s="1">
        <f t="shared" si="20"/>
        <v>12652517.891606038</v>
      </c>
      <c r="L72" s="1">
        <f t="shared" si="20"/>
        <v>13190249.901999295</v>
      </c>
      <c r="M72" s="1"/>
      <c r="N72" s="1"/>
    </row>
    <row r="73" spans="1:14" x14ac:dyDescent="0.3">
      <c r="A73" t="s">
        <v>55</v>
      </c>
      <c r="C73" s="1">
        <f>C59*$P$5</f>
        <v>32669.999999999996</v>
      </c>
      <c r="D73" s="1">
        <f t="shared" ref="D73:L73" si="21">D59*$P$5</f>
        <v>34980.738749999997</v>
      </c>
      <c r="E73" s="1">
        <f t="shared" si="21"/>
        <v>37365.806688750003</v>
      </c>
      <c r="F73" s="1">
        <f t="shared" si="21"/>
        <v>39781.019182485943</v>
      </c>
      <c r="G73" s="1">
        <f t="shared" si="21"/>
        <v>42334.032749857877</v>
      </c>
      <c r="H73" s="1">
        <f t="shared" si="21"/>
        <v>45032.198004558064</v>
      </c>
      <c r="I73" s="1">
        <f t="shared" si="21"/>
        <v>47883.241459253346</v>
      </c>
      <c r="J73" s="1">
        <f t="shared" si="21"/>
        <v>50895.284199951981</v>
      </c>
      <c r="K73" s="1">
        <f t="shared" si="21"/>
        <v>54076.861468724223</v>
      </c>
      <c r="L73" s="1">
        <f t="shared" si="21"/>
        <v>57436.943198255947</v>
      </c>
      <c r="M73" s="1"/>
      <c r="N73" s="1"/>
    </row>
    <row r="74" spans="1:14" x14ac:dyDescent="0.3">
      <c r="A74" t="s">
        <v>56</v>
      </c>
      <c r="C74" s="1">
        <f>N6*O6</f>
        <v>8000000</v>
      </c>
      <c r="D74" s="1">
        <f>C74*(1+C25)</f>
        <v>8380000.0000000009</v>
      </c>
      <c r="E74" s="1">
        <f t="shared" ref="E74:L74" si="22">D74*(1+D25)</f>
        <v>8761290.0000000019</v>
      </c>
      <c r="F74" s="1">
        <f t="shared" si="22"/>
        <v>9133644.8250000011</v>
      </c>
      <c r="G74" s="1">
        <f t="shared" si="22"/>
        <v>9521824.7300625015</v>
      </c>
      <c r="H74" s="1">
        <f t="shared" si="22"/>
        <v>9926502.2810901571</v>
      </c>
      <c r="I74" s="1">
        <f t="shared" si="22"/>
        <v>10348378.628036488</v>
      </c>
      <c r="J74" s="1">
        <f t="shared" si="22"/>
        <v>10788184.719728038</v>
      </c>
      <c r="K74" s="1">
        <f t="shared" si="22"/>
        <v>11246682.570316479</v>
      </c>
      <c r="L74" s="1">
        <f t="shared" si="22"/>
        <v>11724666.579554928</v>
      </c>
      <c r="M74" s="1"/>
      <c r="N74" s="1"/>
    </row>
    <row r="75" spans="1:14" x14ac:dyDescent="0.3">
      <c r="A75" t="s">
        <v>57</v>
      </c>
      <c r="C75" s="1">
        <f t="shared" ref="C75:C76" si="23">N7*O7</f>
        <v>24000000</v>
      </c>
      <c r="D75" s="1">
        <f>C75*(1+C25)</f>
        <v>25140000.000000004</v>
      </c>
      <c r="E75" s="1">
        <f t="shared" ref="E75:L75" si="24">D75*(1+D25)</f>
        <v>26283870.000000007</v>
      </c>
      <c r="F75" s="1">
        <f t="shared" si="24"/>
        <v>27400934.475000009</v>
      </c>
      <c r="G75" s="1">
        <f t="shared" si="24"/>
        <v>28565474.19018751</v>
      </c>
      <c r="H75" s="1">
        <f t="shared" si="24"/>
        <v>29779506.843270481</v>
      </c>
      <c r="I75" s="1">
        <f t="shared" si="24"/>
        <v>31045135.884109475</v>
      </c>
      <c r="J75" s="1">
        <f t="shared" si="24"/>
        <v>32364554.159184128</v>
      </c>
      <c r="K75" s="1">
        <f t="shared" si="24"/>
        <v>33740047.710949451</v>
      </c>
      <c r="L75" s="1">
        <f t="shared" si="24"/>
        <v>35173999.738664798</v>
      </c>
      <c r="M75" s="1"/>
      <c r="N75" s="1"/>
    </row>
    <row r="76" spans="1:14" x14ac:dyDescent="0.3">
      <c r="A76" t="s">
        <v>58</v>
      </c>
      <c r="C76" s="1">
        <f t="shared" si="23"/>
        <v>8000000</v>
      </c>
      <c r="D76" s="1">
        <f>C76*(1+C25)</f>
        <v>8380000.0000000009</v>
      </c>
      <c r="E76" s="1">
        <f t="shared" ref="E76:L76" si="25">D76*(1+D25)</f>
        <v>8761290.0000000019</v>
      </c>
      <c r="F76" s="1">
        <f t="shared" si="25"/>
        <v>9133644.8250000011</v>
      </c>
      <c r="G76" s="1">
        <f t="shared" si="25"/>
        <v>9521824.7300625015</v>
      </c>
      <c r="H76" s="1">
        <f t="shared" si="25"/>
        <v>9926502.2810901571</v>
      </c>
      <c r="I76" s="1">
        <f t="shared" si="25"/>
        <v>10348378.628036488</v>
      </c>
      <c r="J76" s="1">
        <f t="shared" si="25"/>
        <v>10788184.719728038</v>
      </c>
      <c r="K76" s="1">
        <f t="shared" si="25"/>
        <v>11246682.570316479</v>
      </c>
      <c r="L76" s="1">
        <f t="shared" si="25"/>
        <v>11724666.579554928</v>
      </c>
      <c r="M76" s="1"/>
      <c r="N76" s="1"/>
    </row>
    <row r="77" spans="1:14" x14ac:dyDescent="0.3">
      <c r="A77" t="s">
        <v>59</v>
      </c>
      <c r="C77" s="1">
        <f>C53*$D$13</f>
        <v>8250000</v>
      </c>
      <c r="D77" s="1">
        <f t="shared" ref="D77:L77" si="26">D53*$D$13</f>
        <v>8799000.0000000019</v>
      </c>
      <c r="E77" s="1">
        <f t="shared" si="26"/>
        <v>9363628.6875000037</v>
      </c>
      <c r="F77" s="1">
        <f t="shared" si="26"/>
        <v>9932838.7471875027</v>
      </c>
      <c r="G77" s="1">
        <f t="shared" si="26"/>
        <v>10533518.607631642</v>
      </c>
      <c r="H77" s="1">
        <f t="shared" si="26"/>
        <v>11167315.066226427</v>
      </c>
      <c r="I77" s="1">
        <f t="shared" si="26"/>
        <v>11835958.055816736</v>
      </c>
      <c r="J77" s="1">
        <f t="shared" si="26"/>
        <v>12541264.736683847</v>
      </c>
      <c r="K77" s="1">
        <f t="shared" si="26"/>
        <v>13285143.786186345</v>
      </c>
      <c r="L77" s="1">
        <f t="shared" si="26"/>
        <v>14069599.89546592</v>
      </c>
      <c r="M77" s="1"/>
      <c r="N77" s="1"/>
    </row>
    <row r="78" spans="1:14" x14ac:dyDescent="0.3">
      <c r="A78" t="s">
        <v>60</v>
      </c>
      <c r="C78" s="1">
        <f>C54*$D$14</f>
        <v>9500000</v>
      </c>
      <c r="D78" s="1">
        <f t="shared" ref="D78:L78" si="27">D54*$D$14</f>
        <v>10190080.000000002</v>
      </c>
      <c r="E78" s="1">
        <f t="shared" si="27"/>
        <v>10903425.405000003</v>
      </c>
      <c r="F78" s="1">
        <f t="shared" si="27"/>
        <v>11627129.862225004</v>
      </c>
      <c r="G78" s="1">
        <f t="shared" si="27"/>
        <v>12392654.886176346</v>
      </c>
      <c r="H78" s="1">
        <f t="shared" si="27"/>
        <v>13202248.033849912</v>
      </c>
      <c r="I78" s="1">
        <f t="shared" si="27"/>
        <v>14058272.366187572</v>
      </c>
      <c r="J78" s="1">
        <f t="shared" si="27"/>
        <v>14963212.206262792</v>
      </c>
      <c r="K78" s="1">
        <f t="shared" si="27"/>
        <v>15919679.17828298</v>
      </c>
      <c r="L78" s="1">
        <f t="shared" si="27"/>
        <v>16930418.540877324</v>
      </c>
      <c r="M78" s="1"/>
      <c r="N78" s="1"/>
    </row>
    <row r="79" spans="1:14" x14ac:dyDescent="0.3">
      <c r="A79" t="s">
        <v>61</v>
      </c>
      <c r="C79" s="1">
        <f>C55*$D$15</f>
        <v>15876000</v>
      </c>
      <c r="D79" s="1">
        <f t="shared" ref="D79:L79" si="28">D55*$D$15</f>
        <v>16986469.5</v>
      </c>
      <c r="E79" s="1">
        <f t="shared" si="28"/>
        <v>18131927.719500002</v>
      </c>
      <c r="F79" s="1">
        <f t="shared" si="28"/>
        <v>19290942.893761877</v>
      </c>
      <c r="G79" s="1">
        <f t="shared" si="28"/>
        <v>20515723.563392662</v>
      </c>
      <c r="H79" s="1">
        <f t="shared" si="28"/>
        <v>21809766.324340209</v>
      </c>
      <c r="I79" s="1">
        <f t="shared" si="28"/>
        <v>23176746.194281921</v>
      </c>
      <c r="J79" s="1">
        <f t="shared" si="28"/>
        <v>24620525.462745335</v>
      </c>
      <c r="K79" s="1">
        <f t="shared" si="28"/>
        <v>26145162.971214719</v>
      </c>
      <c r="L79" s="1">
        <f t="shared" si="28"/>
        <v>27754923.843786918</v>
      </c>
      <c r="M79" s="1"/>
      <c r="N79" s="1"/>
    </row>
    <row r="80" spans="1:14" x14ac:dyDescent="0.3">
      <c r="A80" t="s">
        <v>62</v>
      </c>
      <c r="C80" s="1">
        <f>C56*$D$16</f>
        <v>23625000</v>
      </c>
      <c r="D80" s="1">
        <f t="shared" ref="D80:L80" si="29">D56*$D$16</f>
        <v>25407112.500000004</v>
      </c>
      <c r="E80" s="1">
        <f t="shared" si="29"/>
        <v>27253087.706250008</v>
      </c>
      <c r="F80" s="1">
        <f t="shared" si="29"/>
        <v>29130618.463734385</v>
      </c>
      <c r="G80" s="1">
        <f t="shared" si="29"/>
        <v>31118513.445935518</v>
      </c>
      <c r="H80" s="1">
        <f t="shared" si="29"/>
        <v>33222762.322023626</v>
      </c>
      <c r="I80" s="1">
        <f t="shared" si="29"/>
        <v>35449664.537667513</v>
      </c>
      <c r="J80" s="1">
        <f t="shared" si="29"/>
        <v>37805844.827196956</v>
      </c>
      <c r="K80" s="1">
        <f t="shared" si="29"/>
        <v>40298269.484765254</v>
      </c>
      <c r="L80" s="1">
        <f t="shared" si="29"/>
        <v>42934263.431007728</v>
      </c>
      <c r="M80" s="1"/>
      <c r="N80" s="1"/>
    </row>
    <row r="81" spans="1:16" x14ac:dyDescent="0.3">
      <c r="A81" t="s">
        <v>63</v>
      </c>
      <c r="C81" s="1">
        <f>C57*$D$17</f>
        <v>28380000</v>
      </c>
      <c r="D81" s="1">
        <f t="shared" ref="D81:L81" si="30">D57*$D$17</f>
        <v>30322611.000000007</v>
      </c>
      <c r="E81" s="1">
        <f t="shared" si="30"/>
        <v>32323903.326000009</v>
      </c>
      <c r="F81" s="1">
        <f t="shared" si="30"/>
        <v>34345701.317688763</v>
      </c>
      <c r="G81" s="1">
        <f t="shared" si="30"/>
        <v>36480967.088288471</v>
      </c>
      <c r="H81" s="1">
        <f t="shared" si="30"/>
        <v>38735693.526384071</v>
      </c>
      <c r="I81" s="1">
        <f t="shared" si="30"/>
        <v>41116177.964914583</v>
      </c>
      <c r="J81" s="1">
        <f t="shared" si="30"/>
        <v>43629037.234288163</v>
      </c>
      <c r="K81" s="1">
        <f t="shared" si="30"/>
        <v>46281223.44510936</v>
      </c>
      <c r="L81" s="1">
        <f t="shared" si="30"/>
        <v>49080040.535345919</v>
      </c>
      <c r="M81" s="1"/>
      <c r="N81" s="1"/>
    </row>
    <row r="82" spans="1:16" x14ac:dyDescent="0.3">
      <c r="A82" t="s">
        <v>64</v>
      </c>
      <c r="C82" s="1">
        <f>(B8*B11)/C8</f>
        <v>8600000</v>
      </c>
      <c r="D82" s="1">
        <f>C82</f>
        <v>8600000</v>
      </c>
      <c r="E82" s="1">
        <f t="shared" ref="E82:L82" si="31">D82</f>
        <v>8600000</v>
      </c>
      <c r="F82" s="1">
        <f t="shared" si="31"/>
        <v>8600000</v>
      </c>
      <c r="G82" s="1">
        <f t="shared" si="31"/>
        <v>8600000</v>
      </c>
      <c r="H82" s="1">
        <f t="shared" si="31"/>
        <v>8600000</v>
      </c>
      <c r="I82" s="1">
        <f t="shared" si="31"/>
        <v>8600000</v>
      </c>
      <c r="J82" s="1">
        <f t="shared" si="31"/>
        <v>8600000</v>
      </c>
      <c r="K82" s="1">
        <f t="shared" si="31"/>
        <v>8600000</v>
      </c>
      <c r="L82" s="1">
        <f t="shared" si="31"/>
        <v>8600000</v>
      </c>
      <c r="M82" s="1"/>
      <c r="N82" s="1"/>
    </row>
    <row r="83" spans="1:16" x14ac:dyDescent="0.3">
      <c r="A83" t="s">
        <v>65</v>
      </c>
      <c r="C83" s="1">
        <f>B9/C9</f>
        <v>4300000</v>
      </c>
      <c r="D83" s="1">
        <f>C83</f>
        <v>4300000</v>
      </c>
      <c r="E83" s="1">
        <f t="shared" ref="E83:G83" si="32">D83</f>
        <v>4300000</v>
      </c>
      <c r="F83" s="1">
        <f t="shared" si="32"/>
        <v>4300000</v>
      </c>
      <c r="G83" s="1">
        <f t="shared" si="32"/>
        <v>4300000</v>
      </c>
      <c r="H83" s="1"/>
      <c r="I83" s="1"/>
      <c r="J83" s="1"/>
      <c r="K83" s="1"/>
      <c r="L83" s="1"/>
      <c r="M83" s="1"/>
      <c r="N83" s="1"/>
    </row>
    <row r="84" spans="1:16" x14ac:dyDescent="0.3">
      <c r="A84" t="s">
        <v>66</v>
      </c>
      <c r="C84" s="1">
        <f>B10/C10</f>
        <v>4200000</v>
      </c>
      <c r="D84" s="1">
        <f>C84</f>
        <v>4200000</v>
      </c>
      <c r="E84" s="1">
        <f t="shared" ref="E84:G84" si="33">D84</f>
        <v>4200000</v>
      </c>
      <c r="F84" s="1">
        <f t="shared" si="33"/>
        <v>4200000</v>
      </c>
      <c r="G84" s="1">
        <f t="shared" si="33"/>
        <v>4200000</v>
      </c>
      <c r="H84" s="1"/>
      <c r="I84" s="1"/>
      <c r="J84" s="1"/>
      <c r="K84" s="1"/>
      <c r="L84" s="1"/>
      <c r="M84" s="1"/>
      <c r="N84" s="1"/>
    </row>
    <row r="85" spans="1:16" x14ac:dyDescent="0.3">
      <c r="C85" s="1"/>
      <c r="D85" s="1"/>
      <c r="E85" s="1"/>
      <c r="F85" s="1"/>
      <c r="G85" s="1"/>
      <c r="H85" s="1"/>
      <c r="I85" s="1"/>
      <c r="J85" s="1"/>
      <c r="K85" s="1"/>
      <c r="L85" s="1"/>
      <c r="M85" s="1"/>
      <c r="N85" s="1"/>
    </row>
    <row r="86" spans="1:16" x14ac:dyDescent="0.3">
      <c r="A86" s="3" t="s">
        <v>69</v>
      </c>
      <c r="C86" s="1">
        <f>SUM(C63:C84)</f>
        <v>163203250</v>
      </c>
      <c r="D86" s="1">
        <f t="shared" ref="D86:L86" si="34">SUM(D63:D84)</f>
        <v>172156279.15625</v>
      </c>
      <c r="E86" s="1">
        <f t="shared" si="34"/>
        <v>181316061.81665629</v>
      </c>
      <c r="F86" s="1">
        <f t="shared" si="34"/>
        <v>190489417.0859099</v>
      </c>
      <c r="G86" s="1">
        <f t="shared" si="34"/>
        <v>200145892.29139376</v>
      </c>
      <c r="H86" s="1">
        <f t="shared" si="34"/>
        <v>201809983.25473231</v>
      </c>
      <c r="I86" s="1">
        <f t="shared" si="34"/>
        <v>212507395.30700335</v>
      </c>
      <c r="J86" s="1">
        <f t="shared" si="34"/>
        <v>223765101.85146353</v>
      </c>
      <c r="K86" s="1">
        <f t="shared" si="34"/>
        <v>235611405.71942955</v>
      </c>
      <c r="L86" s="1">
        <f t="shared" si="34"/>
        <v>248076003.45095348</v>
      </c>
      <c r="M86" s="1"/>
      <c r="N86" s="1"/>
    </row>
    <row r="88" spans="1:16" x14ac:dyDescent="0.3">
      <c r="A88" t="s">
        <v>70</v>
      </c>
      <c r="C88" s="1">
        <f>C59-C86</f>
        <v>54596750</v>
      </c>
      <c r="D88" s="1">
        <f t="shared" ref="D88:L88" si="35">D59-D86</f>
        <v>61048645.84375</v>
      </c>
      <c r="E88" s="1">
        <f t="shared" si="35"/>
        <v>67789316.10834375</v>
      </c>
      <c r="F88" s="1">
        <f t="shared" si="35"/>
        <v>74717377.46399641</v>
      </c>
      <c r="G88" s="1">
        <f t="shared" si="35"/>
        <v>82080992.707658768</v>
      </c>
      <c r="H88" s="1">
        <f t="shared" si="35"/>
        <v>98404670.108988166</v>
      </c>
      <c r="I88" s="1">
        <f t="shared" si="35"/>
        <v>106714214.4213523</v>
      </c>
      <c r="J88" s="1">
        <f t="shared" si="35"/>
        <v>115536792.81488302</v>
      </c>
      <c r="K88" s="1">
        <f t="shared" si="35"/>
        <v>124901004.07206529</v>
      </c>
      <c r="L88" s="1">
        <f t="shared" si="35"/>
        <v>134836951.20408618</v>
      </c>
      <c r="M88" s="1"/>
      <c r="N88" s="1"/>
    </row>
    <row r="89" spans="1:16" x14ac:dyDescent="0.3">
      <c r="A89" t="s">
        <v>71</v>
      </c>
      <c r="C89" s="1">
        <f>C88*$B$6</f>
        <v>15833057.499999998</v>
      </c>
      <c r="D89" s="1">
        <f t="shared" ref="D89:L89" si="36">D88*$B$6</f>
        <v>17704107.294687498</v>
      </c>
      <c r="E89" s="1">
        <f t="shared" si="36"/>
        <v>19658901.671419688</v>
      </c>
      <c r="F89" s="1">
        <f t="shared" si="36"/>
        <v>21668039.464558959</v>
      </c>
      <c r="G89" s="1">
        <f t="shared" si="36"/>
        <v>23803487.885221042</v>
      </c>
      <c r="H89" s="1">
        <f t="shared" si="36"/>
        <v>28537354.331606567</v>
      </c>
      <c r="I89" s="1">
        <f t="shared" si="36"/>
        <v>30947122.182192165</v>
      </c>
      <c r="J89" s="1">
        <f t="shared" si="36"/>
        <v>33505669.916316073</v>
      </c>
      <c r="K89" s="1">
        <f t="shared" si="36"/>
        <v>36221291.180898935</v>
      </c>
      <c r="L89" s="1">
        <f t="shared" si="36"/>
        <v>39102715.84918499</v>
      </c>
      <c r="M89" s="1"/>
      <c r="N89" s="1"/>
    </row>
    <row r="90" spans="1:16" x14ac:dyDescent="0.3">
      <c r="A90" t="s">
        <v>72</v>
      </c>
      <c r="C90" s="1">
        <f>C88-C89</f>
        <v>38763692.5</v>
      </c>
      <c r="D90" s="1">
        <f t="shared" ref="D90:L90" si="37">D88-D89</f>
        <v>43344538.549062505</v>
      </c>
      <c r="E90" s="1">
        <f t="shared" si="37"/>
        <v>48130414.436924063</v>
      </c>
      <c r="F90" s="1">
        <f t="shared" si="37"/>
        <v>53049337.999437451</v>
      </c>
      <c r="G90" s="1">
        <f t="shared" si="37"/>
        <v>58277504.822437726</v>
      </c>
      <c r="H90" s="1">
        <f t="shared" si="37"/>
        <v>69867315.777381599</v>
      </c>
      <c r="I90" s="1">
        <f t="shared" si="37"/>
        <v>75767092.239160135</v>
      </c>
      <c r="J90" s="1">
        <f t="shared" si="37"/>
        <v>82031122.898566946</v>
      </c>
      <c r="K90" s="1">
        <f t="shared" si="37"/>
        <v>88679712.891166359</v>
      </c>
      <c r="L90" s="1">
        <f t="shared" si="37"/>
        <v>95734235.354901195</v>
      </c>
      <c r="M90" s="1"/>
      <c r="N90" s="1"/>
    </row>
    <row r="91" spans="1:16" x14ac:dyDescent="0.3">
      <c r="A91" s="8"/>
      <c r="B91" s="22"/>
      <c r="C91">
        <v>2025</v>
      </c>
      <c r="D91">
        <v>2026</v>
      </c>
      <c r="E91">
        <v>2027</v>
      </c>
      <c r="F91">
        <v>2028</v>
      </c>
      <c r="G91">
        <v>2029</v>
      </c>
      <c r="H91">
        <v>2030</v>
      </c>
      <c r="I91">
        <v>2031</v>
      </c>
      <c r="J91">
        <v>2032</v>
      </c>
      <c r="K91">
        <v>2033</v>
      </c>
      <c r="L91">
        <v>2034</v>
      </c>
      <c r="P91" s="12"/>
    </row>
    <row r="92" spans="1:16" x14ac:dyDescent="0.3">
      <c r="A92" t="s">
        <v>73</v>
      </c>
      <c r="B92" s="1">
        <f>-(B8+B9+B10)</f>
        <v>-257500000</v>
      </c>
    </row>
    <row r="93" spans="1:16" x14ac:dyDescent="0.3">
      <c r="A93" t="s">
        <v>74</v>
      </c>
      <c r="C93" s="1">
        <f>C82+C83+C84</f>
        <v>17100000</v>
      </c>
      <c r="D93" s="1">
        <f t="shared" ref="D93:L93" si="38">D82+D83+D84</f>
        <v>17100000</v>
      </c>
      <c r="E93" s="1">
        <f t="shared" si="38"/>
        <v>17100000</v>
      </c>
      <c r="F93" s="1">
        <f t="shared" si="38"/>
        <v>17100000</v>
      </c>
      <c r="G93" s="1">
        <f t="shared" si="38"/>
        <v>17100000</v>
      </c>
      <c r="H93" s="1">
        <f t="shared" si="38"/>
        <v>8600000</v>
      </c>
      <c r="I93" s="1">
        <f t="shared" si="38"/>
        <v>8600000</v>
      </c>
      <c r="J93" s="1">
        <f t="shared" si="38"/>
        <v>8600000</v>
      </c>
      <c r="K93" s="1">
        <f t="shared" si="38"/>
        <v>8600000</v>
      </c>
      <c r="L93" s="1">
        <f t="shared" si="38"/>
        <v>8600000</v>
      </c>
      <c r="M93" s="1"/>
      <c r="N93" s="1"/>
    </row>
    <row r="94" spans="1:16" x14ac:dyDescent="0.3">
      <c r="A94" t="s">
        <v>101</v>
      </c>
      <c r="D94" s="1"/>
      <c r="E94" s="1"/>
      <c r="F94" s="1">
        <f>IF(E95&lt;C19,B19*E95,0)</f>
        <v>0</v>
      </c>
      <c r="G94" s="1"/>
      <c r="H94" s="1"/>
      <c r="I94" s="1">
        <f>IF(F94&gt;0,0,IF(H95&lt;F19,H95*E19,0))</f>
        <v>329562726.26500273</v>
      </c>
      <c r="J94" s="1"/>
      <c r="K94" s="1"/>
      <c r="L94" s="1">
        <f>IF(F94&gt;0,0,IF(I94&gt;0,0,K95*H19))</f>
        <v>0</v>
      </c>
      <c r="M94" s="1"/>
      <c r="N94" s="1"/>
    </row>
    <row r="95" spans="1:16" x14ac:dyDescent="0.3">
      <c r="A95" t="s">
        <v>75</v>
      </c>
      <c r="B95" s="1">
        <f>B90+B92+B93+B94</f>
        <v>-257500000</v>
      </c>
      <c r="C95" s="1">
        <f t="shared" ref="C95:E95" si="39">C90+C92+C93+C94</f>
        <v>55863692.5</v>
      </c>
      <c r="D95" s="1">
        <f t="shared" si="39"/>
        <v>60444538.549062505</v>
      </c>
      <c r="E95" s="1">
        <f t="shared" si="39"/>
        <v>65230414.436924063</v>
      </c>
      <c r="F95" s="1">
        <f>IF($F$94=0,F90+F92+F93+F94,F94)</f>
        <v>70149337.999437451</v>
      </c>
      <c r="G95" s="1">
        <f>IF($F$94=0,G90+G92+G93+G94,0)</f>
        <v>75377504.822437733</v>
      </c>
      <c r="H95" s="1">
        <f>IF($F$94=0,H90+H92+H93+H94,0)</f>
        <v>78467315.777381599</v>
      </c>
      <c r="I95" s="1">
        <f>IF($F$94&gt;0,0,IF(I94&gt;0,I94,I90+I92+I93+I94))</f>
        <v>329562726.26500273</v>
      </c>
      <c r="J95" s="1">
        <f>IF($F$94&gt;0,0,IF(I94&gt;0,0,J90+J92+J93+J94))</f>
        <v>0</v>
      </c>
      <c r="K95" s="1">
        <f>IF(J95=0,0,K90+K92+K93+K94)</f>
        <v>0</v>
      </c>
      <c r="L95" s="1">
        <f>IF(J95=0,0,L90+L92+L93+L94)</f>
        <v>0</v>
      </c>
      <c r="M95" s="1"/>
      <c r="N95" s="1"/>
    </row>
    <row r="96" spans="1:16" x14ac:dyDescent="0.3">
      <c r="A96" t="s">
        <v>76</v>
      </c>
      <c r="B96" s="4">
        <f>B95*B33</f>
        <v>-15203778.5</v>
      </c>
      <c r="C96" s="4">
        <f t="shared" ref="C96:L96" si="40">C95*C33</f>
        <v>3298404.6872315002</v>
      </c>
      <c r="D96" s="4">
        <f t="shared" si="40"/>
        <v>3568875.2451831368</v>
      </c>
      <c r="E96" s="4">
        <f t="shared" si="40"/>
        <v>3851451.543930857</v>
      </c>
      <c r="F96" s="4">
        <f t="shared" si="40"/>
        <v>4141883.4829711849</v>
      </c>
      <c r="G96" s="4">
        <f t="shared" si="40"/>
        <v>4450574.3192350492</v>
      </c>
      <c r="H96" s="4">
        <f t="shared" si="40"/>
        <v>4633008.4992965637</v>
      </c>
      <c r="I96" s="4">
        <f t="shared" si="40"/>
        <v>19458635.697045568</v>
      </c>
      <c r="J96" s="4">
        <f t="shared" si="40"/>
        <v>0</v>
      </c>
      <c r="K96" s="4">
        <f t="shared" si="40"/>
        <v>0</v>
      </c>
      <c r="L96" s="4">
        <f t="shared" si="40"/>
        <v>0</v>
      </c>
      <c r="M96" s="4"/>
      <c r="N96" s="4"/>
    </row>
    <row r="97" spans="1:14" x14ac:dyDescent="0.3">
      <c r="A97" t="s">
        <v>77</v>
      </c>
      <c r="B97" s="4">
        <f>B95*B34</f>
        <v>-15203778.5</v>
      </c>
      <c r="C97" s="4">
        <f t="shared" ref="C97:L97" si="41">C95*C34</f>
        <v>3135337.4892110666</v>
      </c>
      <c r="D97" s="4">
        <f t="shared" si="41"/>
        <v>3202277.4741167361</v>
      </c>
      <c r="E97" s="4">
        <f t="shared" si="41"/>
        <v>3239548.4395941151</v>
      </c>
      <c r="F97" s="4">
        <f t="shared" si="41"/>
        <v>3265805.8576662592</v>
      </c>
      <c r="G97" s="4">
        <f t="shared" si="41"/>
        <v>3289584.0727555542</v>
      </c>
      <c r="H97" s="4">
        <f t="shared" si="41"/>
        <v>3210114.1496069469</v>
      </c>
      <c r="I97" s="4">
        <f t="shared" si="41"/>
        <v>12638694.39483604</v>
      </c>
      <c r="J97" s="4">
        <f t="shared" si="41"/>
        <v>0</v>
      </c>
      <c r="K97" s="4">
        <f t="shared" si="41"/>
        <v>0</v>
      </c>
      <c r="L97" s="4">
        <f t="shared" si="41"/>
        <v>0</v>
      </c>
      <c r="M97" s="4"/>
      <c r="N97" s="4"/>
    </row>
    <row r="98" spans="1:14" x14ac:dyDescent="0.3">
      <c r="A98" t="s">
        <v>78</v>
      </c>
      <c r="B98" s="4">
        <f>B95*B35</f>
        <v>-15203778.5</v>
      </c>
      <c r="C98" s="4">
        <f t="shared" ref="C98:L98" si="42">C95*C35</f>
        <v>3251172.161877349</v>
      </c>
      <c r="D98" s="4">
        <f t="shared" si="42"/>
        <v>3463934.8036883245</v>
      </c>
      <c r="E98" s="4">
        <f t="shared" si="42"/>
        <v>3677243.4394303551</v>
      </c>
      <c r="F98" s="4">
        <f t="shared" si="42"/>
        <v>3890052.1366352662</v>
      </c>
      <c r="G98" s="4">
        <f t="shared" si="42"/>
        <v>4111811.5610475726</v>
      </c>
      <c r="H98" s="4">
        <f t="shared" si="42"/>
        <v>4210559.8377498053</v>
      </c>
      <c r="I98" s="4">
        <f t="shared" si="42"/>
        <v>17395973.407359414</v>
      </c>
      <c r="J98" s="4">
        <f t="shared" si="42"/>
        <v>0</v>
      </c>
      <c r="K98" s="4">
        <f t="shared" si="42"/>
        <v>0</v>
      </c>
      <c r="L98" s="4">
        <f t="shared" si="42"/>
        <v>0</v>
      </c>
      <c r="M98" s="4"/>
      <c r="N98" s="4"/>
    </row>
    <row r="100" spans="1:14" x14ac:dyDescent="0.3">
      <c r="A100" t="s">
        <v>79</v>
      </c>
      <c r="B100" s="31">
        <f>(NPV(B5,C95:N95)+B95)*B7</f>
        <v>141135.32171959316</v>
      </c>
    </row>
    <row r="101" spans="1:14" x14ac:dyDescent="0.3">
      <c r="A101" t="s">
        <v>80</v>
      </c>
      <c r="B101" s="31">
        <f>NPV(B4,C96:N96)+B96</f>
        <v>3020282.3030891195</v>
      </c>
    </row>
    <row r="102" spans="1:14" x14ac:dyDescent="0.3">
      <c r="A102" t="s">
        <v>81</v>
      </c>
      <c r="B102" s="31">
        <f>NPV(B4,C97:N97)+B97</f>
        <v>-993211.37837984599</v>
      </c>
    </row>
    <row r="103" spans="1:14" x14ac:dyDescent="0.3">
      <c r="A103" t="s">
        <v>82</v>
      </c>
      <c r="B103" s="31">
        <f>NPV(B4,C98:N98)+B98</f>
        <v>1832515.6931373142</v>
      </c>
    </row>
  </sheetData>
  <pageMargins left="0.7" right="0.7" top="0.75" bottom="0.75" header="0.3" footer="0.3"/>
  <pageSetup scale="34"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22457-6010-4B35-B7FB-36C2ED61D796}">
  <dimension ref="A1:P103"/>
  <sheetViews>
    <sheetView topLeftCell="A90" workbookViewId="0">
      <selection activeCell="A100" sqref="A100:B103"/>
    </sheetView>
  </sheetViews>
  <sheetFormatPr defaultRowHeight="14.4" x14ac:dyDescent="0.3"/>
  <cols>
    <col min="1" max="1" width="32.6640625" customWidth="1"/>
    <col min="2" max="2" width="19.44140625" customWidth="1"/>
    <col min="3" max="14" width="18.5546875" customWidth="1"/>
    <col min="15" max="15" width="16.6640625" customWidth="1"/>
  </cols>
  <sheetData>
    <row r="1" spans="1:16" x14ac:dyDescent="0.3">
      <c r="A1" t="s">
        <v>0</v>
      </c>
    </row>
    <row r="2" spans="1:16" ht="15" thickBot="1" x14ac:dyDescent="0.35"/>
    <row r="3" spans="1:16" x14ac:dyDescent="0.3">
      <c r="A3" s="5" t="s">
        <v>1</v>
      </c>
      <c r="B3" s="6"/>
      <c r="C3" s="6"/>
      <c r="D3" s="6"/>
      <c r="E3" s="6"/>
      <c r="F3" s="6"/>
      <c r="G3" s="6"/>
      <c r="H3" s="6"/>
      <c r="I3" s="6"/>
      <c r="J3" s="6"/>
      <c r="K3" s="6"/>
      <c r="L3" s="6"/>
      <c r="M3" s="6"/>
      <c r="N3" s="6"/>
      <c r="O3" s="6"/>
      <c r="P3" s="7"/>
    </row>
    <row r="4" spans="1:16" x14ac:dyDescent="0.3">
      <c r="A4" s="8" t="s">
        <v>2</v>
      </c>
      <c r="B4" s="9">
        <v>0.2</v>
      </c>
      <c r="F4" s="3" t="s">
        <v>14</v>
      </c>
      <c r="G4" s="3" t="s">
        <v>15</v>
      </c>
      <c r="H4" s="3"/>
      <c r="I4" s="3"/>
      <c r="J4" s="3" t="s">
        <v>14</v>
      </c>
      <c r="K4" s="3"/>
      <c r="L4" s="3"/>
      <c r="M4" s="3"/>
      <c r="N4" s="3" t="s">
        <v>23</v>
      </c>
      <c r="O4" s="3" t="s">
        <v>14</v>
      </c>
      <c r="P4" s="10" t="s">
        <v>15</v>
      </c>
    </row>
    <row r="5" spans="1:16" x14ac:dyDescent="0.3">
      <c r="A5" s="8" t="s">
        <v>3</v>
      </c>
      <c r="B5" s="9">
        <v>0.25</v>
      </c>
      <c r="E5" t="s">
        <v>16</v>
      </c>
      <c r="F5" s="1">
        <v>2500000</v>
      </c>
      <c r="G5" s="11">
        <v>3.5E-4</v>
      </c>
      <c r="I5" t="s">
        <v>20</v>
      </c>
      <c r="J5" s="1">
        <v>750000</v>
      </c>
      <c r="L5" t="s">
        <v>22</v>
      </c>
      <c r="N5">
        <v>10</v>
      </c>
      <c r="O5" s="1">
        <v>900000</v>
      </c>
      <c r="P5" s="23">
        <v>1.4999999999999999E-4</v>
      </c>
    </row>
    <row r="6" spans="1:16" x14ac:dyDescent="0.3">
      <c r="A6" s="8" t="s">
        <v>4</v>
      </c>
      <c r="B6" s="9">
        <v>0.28999999999999998</v>
      </c>
      <c r="E6" t="s">
        <v>17</v>
      </c>
      <c r="F6" s="1">
        <v>1900000</v>
      </c>
      <c r="G6" s="11">
        <v>2.5000000000000001E-4</v>
      </c>
      <c r="I6" t="s">
        <v>20</v>
      </c>
      <c r="J6" s="1">
        <v>750000</v>
      </c>
      <c r="L6" t="s">
        <v>21</v>
      </c>
      <c r="N6">
        <v>8</v>
      </c>
      <c r="O6" s="1">
        <v>1000000</v>
      </c>
      <c r="P6" s="12"/>
    </row>
    <row r="7" spans="1:16" x14ac:dyDescent="0.3">
      <c r="A7" s="8" t="s">
        <v>5</v>
      </c>
      <c r="B7" s="21">
        <v>5.90438E-2</v>
      </c>
      <c r="C7" t="s">
        <v>68</v>
      </c>
      <c r="E7" t="s">
        <v>18</v>
      </c>
      <c r="F7" s="1">
        <v>1900000</v>
      </c>
      <c r="G7" s="11">
        <v>2.5000000000000001E-4</v>
      </c>
      <c r="I7" t="s">
        <v>20</v>
      </c>
      <c r="J7" s="1">
        <v>750000</v>
      </c>
      <c r="L7" t="s">
        <v>24</v>
      </c>
      <c r="N7">
        <v>40</v>
      </c>
      <c r="O7" s="1">
        <v>600000</v>
      </c>
      <c r="P7" s="12"/>
    </row>
    <row r="8" spans="1:16" x14ac:dyDescent="0.3">
      <c r="A8" s="8" t="s">
        <v>11</v>
      </c>
      <c r="B8" s="26">
        <v>200000000</v>
      </c>
      <c r="C8">
        <v>20</v>
      </c>
      <c r="E8" t="s">
        <v>19</v>
      </c>
      <c r="F8" s="1">
        <v>1900000</v>
      </c>
      <c r="G8" s="11">
        <v>2.5000000000000001E-4</v>
      </c>
      <c r="I8" t="s">
        <v>20</v>
      </c>
      <c r="J8" s="1">
        <v>750000</v>
      </c>
      <c r="L8" t="s">
        <v>25</v>
      </c>
      <c r="N8">
        <v>20</v>
      </c>
      <c r="O8" s="1">
        <v>400000</v>
      </c>
      <c r="P8" s="12"/>
    </row>
    <row r="9" spans="1:16" x14ac:dyDescent="0.3">
      <c r="A9" s="8" t="s">
        <v>12</v>
      </c>
      <c r="B9" s="26">
        <v>18000000</v>
      </c>
      <c r="C9">
        <v>5</v>
      </c>
      <c r="P9" s="12"/>
    </row>
    <row r="10" spans="1:16" x14ac:dyDescent="0.3">
      <c r="A10" s="8" t="s">
        <v>13</v>
      </c>
      <c r="B10" s="26">
        <v>21000000</v>
      </c>
      <c r="C10">
        <v>5</v>
      </c>
      <c r="P10" s="12"/>
    </row>
    <row r="11" spans="1:16" x14ac:dyDescent="0.3">
      <c r="A11" s="8" t="s">
        <v>67</v>
      </c>
      <c r="B11" s="13">
        <v>0.8</v>
      </c>
      <c r="P11" s="12"/>
    </row>
    <row r="12" spans="1:16" x14ac:dyDescent="0.3">
      <c r="A12" s="8"/>
      <c r="B12" s="14" t="s">
        <v>31</v>
      </c>
      <c r="C12" s="15" t="s">
        <v>103</v>
      </c>
      <c r="D12" s="15" t="s">
        <v>37</v>
      </c>
      <c r="P12" s="12"/>
    </row>
    <row r="13" spans="1:16" x14ac:dyDescent="0.3">
      <c r="A13" s="8" t="s">
        <v>26</v>
      </c>
      <c r="B13" s="1">
        <v>150000</v>
      </c>
      <c r="C13" s="25">
        <v>120</v>
      </c>
      <c r="D13" s="27">
        <v>0.44</v>
      </c>
      <c r="P13" s="12"/>
    </row>
    <row r="14" spans="1:16" x14ac:dyDescent="0.3">
      <c r="A14" s="8" t="s">
        <v>27</v>
      </c>
      <c r="B14" s="1">
        <v>200000</v>
      </c>
      <c r="C14" s="25">
        <v>140</v>
      </c>
      <c r="D14" s="27">
        <v>0.28999999999999998</v>
      </c>
      <c r="P14" s="12"/>
    </row>
    <row r="15" spans="1:16" x14ac:dyDescent="0.3">
      <c r="A15" s="8" t="s">
        <v>28</v>
      </c>
      <c r="B15" s="1">
        <v>270000</v>
      </c>
      <c r="C15" s="25">
        <v>160</v>
      </c>
      <c r="D15" s="27">
        <v>0.27</v>
      </c>
      <c r="P15" s="12"/>
    </row>
    <row r="16" spans="1:16" x14ac:dyDescent="0.3">
      <c r="A16" s="8" t="s">
        <v>29</v>
      </c>
      <c r="B16" s="1">
        <v>350000</v>
      </c>
      <c r="C16" s="25">
        <v>170</v>
      </c>
      <c r="D16" s="27">
        <v>0.36</v>
      </c>
      <c r="P16" s="12"/>
    </row>
    <row r="17" spans="1:16" x14ac:dyDescent="0.3">
      <c r="A17" s="8" t="s">
        <v>30</v>
      </c>
      <c r="B17" s="1">
        <v>430000</v>
      </c>
      <c r="C17" s="25">
        <v>220</v>
      </c>
      <c r="D17" s="27">
        <v>0.21</v>
      </c>
      <c r="P17" s="12"/>
    </row>
    <row r="18" spans="1:16" x14ac:dyDescent="0.3">
      <c r="A18" s="8"/>
      <c r="B18" s="1"/>
      <c r="P18" s="12"/>
    </row>
    <row r="19" spans="1:16" x14ac:dyDescent="0.3">
      <c r="A19" s="8" t="s">
        <v>104</v>
      </c>
      <c r="B19" s="22">
        <v>3.8</v>
      </c>
      <c r="C19" s="1">
        <v>60000000</v>
      </c>
      <c r="D19" t="s">
        <v>105</v>
      </c>
      <c r="E19" s="22">
        <v>4.2</v>
      </c>
      <c r="F19" s="1">
        <v>80000000</v>
      </c>
      <c r="G19" t="s">
        <v>106</v>
      </c>
      <c r="H19">
        <v>4.8</v>
      </c>
      <c r="P19" s="12"/>
    </row>
    <row r="20" spans="1:16" x14ac:dyDescent="0.3">
      <c r="A20" s="8"/>
      <c r="B20" s="22"/>
      <c r="C20">
        <v>2025</v>
      </c>
      <c r="D20">
        <v>2026</v>
      </c>
      <c r="E20">
        <v>2027</v>
      </c>
      <c r="F20">
        <v>2028</v>
      </c>
      <c r="G20">
        <v>2029</v>
      </c>
      <c r="H20">
        <v>2030</v>
      </c>
      <c r="I20">
        <v>2031</v>
      </c>
      <c r="J20">
        <v>2032</v>
      </c>
      <c r="K20">
        <v>2033</v>
      </c>
      <c r="L20">
        <v>2034</v>
      </c>
      <c r="P20" s="12"/>
    </row>
    <row r="21" spans="1:16" x14ac:dyDescent="0.3">
      <c r="A21" s="8" t="s">
        <v>6</v>
      </c>
      <c r="C21" s="25">
        <v>-0.3</v>
      </c>
      <c r="D21" s="25">
        <v>-0.3</v>
      </c>
      <c r="E21" s="25">
        <v>-0.3</v>
      </c>
      <c r="F21" s="25">
        <v>-0.3</v>
      </c>
      <c r="G21" s="25">
        <v>-0.3</v>
      </c>
      <c r="H21" s="25">
        <v>-0.3</v>
      </c>
      <c r="I21" s="25">
        <v>-0.3</v>
      </c>
      <c r="J21" s="25">
        <v>-0.3</v>
      </c>
      <c r="K21" s="25">
        <v>-0.3</v>
      </c>
      <c r="L21" s="25">
        <v>-0.3</v>
      </c>
      <c r="P21" s="12"/>
    </row>
    <row r="22" spans="1:16" x14ac:dyDescent="0.3">
      <c r="A22" s="8" t="s">
        <v>7</v>
      </c>
      <c r="C22" s="28">
        <v>3.7999999999999999E-2</v>
      </c>
      <c r="D22" s="28">
        <v>2.4E-2</v>
      </c>
      <c r="E22" s="28">
        <v>1.7000000000000001E-2</v>
      </c>
      <c r="F22" s="28">
        <v>1.7000000000000001E-2</v>
      </c>
      <c r="G22" s="28">
        <v>1.7000000000000001E-2</v>
      </c>
      <c r="H22" s="28">
        <v>1.7000000000000001E-2</v>
      </c>
      <c r="I22" s="28">
        <v>1.7000000000000001E-2</v>
      </c>
      <c r="J22" s="28">
        <v>1.7000000000000001E-2</v>
      </c>
      <c r="K22" s="28">
        <v>1.7000000000000001E-2</v>
      </c>
      <c r="L22" s="28">
        <v>1.7000000000000001E-2</v>
      </c>
      <c r="M22" s="11"/>
      <c r="N22" s="11"/>
      <c r="P22" s="12"/>
    </row>
    <row r="23" spans="1:16" x14ac:dyDescent="0.3">
      <c r="A23" s="8" t="s">
        <v>8</v>
      </c>
      <c r="C23" s="28">
        <v>0.10199999999999999</v>
      </c>
      <c r="D23" s="28">
        <v>8.5750000000000007E-2</v>
      </c>
      <c r="E23" s="28">
        <v>8.4000000000000005E-2</v>
      </c>
      <c r="F23" s="28">
        <v>8.4000000000000005E-2</v>
      </c>
      <c r="G23" s="28">
        <v>8.4000000000000005E-2</v>
      </c>
      <c r="H23" s="28">
        <v>8.4000000000000005E-2</v>
      </c>
      <c r="I23" s="28">
        <v>8.4000000000000005E-2</v>
      </c>
      <c r="J23" s="28">
        <v>8.4000000000000005E-2</v>
      </c>
      <c r="K23" s="28">
        <v>8.4000000000000005E-2</v>
      </c>
      <c r="L23" s="28">
        <v>8.4000000000000005E-2</v>
      </c>
      <c r="M23" s="11"/>
      <c r="N23" s="11"/>
      <c r="P23" s="12"/>
    </row>
    <row r="24" spans="1:16" x14ac:dyDescent="0.3">
      <c r="A24" s="8" t="s">
        <v>9</v>
      </c>
      <c r="C24" s="28">
        <v>1.2999999999999999E-2</v>
      </c>
      <c r="D24" s="28">
        <v>1E-3</v>
      </c>
      <c r="E24" s="28">
        <v>-6.0000000000000001E-3</v>
      </c>
      <c r="F24" s="28">
        <v>-6.0000000000000001E-3</v>
      </c>
      <c r="G24" s="28">
        <v>-6.0000000000000001E-3</v>
      </c>
      <c r="H24" s="28">
        <v>-6.0000000000000001E-3</v>
      </c>
      <c r="I24" s="28">
        <v>-6.0000000000000001E-3</v>
      </c>
      <c r="J24" s="28">
        <v>-6.0000000000000001E-3</v>
      </c>
      <c r="K24" s="28">
        <v>-6.0000000000000001E-3</v>
      </c>
      <c r="L24" s="28">
        <v>-6.0000000000000001E-3</v>
      </c>
      <c r="M24" s="11"/>
      <c r="N24" s="11"/>
      <c r="P24" s="12"/>
    </row>
    <row r="25" spans="1:16" x14ac:dyDescent="0.3">
      <c r="A25" s="8" t="s">
        <v>10</v>
      </c>
      <c r="C25" s="28">
        <v>3.6999999999999998E-2</v>
      </c>
      <c r="D25" s="28">
        <v>1.6250000000000001E-2</v>
      </c>
      <c r="E25" s="28">
        <v>8.0000000000000002E-3</v>
      </c>
      <c r="F25" s="28">
        <v>8.0000000000000002E-3</v>
      </c>
      <c r="G25" s="28">
        <v>8.0000000000000002E-3</v>
      </c>
      <c r="H25" s="28">
        <v>8.0000000000000002E-3</v>
      </c>
      <c r="I25" s="28">
        <v>8.0000000000000002E-3</v>
      </c>
      <c r="J25" s="28">
        <v>8.0000000000000002E-3</v>
      </c>
      <c r="K25" s="28">
        <v>8.0000000000000002E-3</v>
      </c>
      <c r="L25" s="28">
        <v>8.0000000000000002E-3</v>
      </c>
      <c r="M25" s="11"/>
      <c r="N25" s="11"/>
      <c r="P25" s="12"/>
    </row>
    <row r="26" spans="1:16" x14ac:dyDescent="0.3">
      <c r="A26" s="8" t="s">
        <v>32</v>
      </c>
      <c r="D26" s="29">
        <v>10</v>
      </c>
      <c r="E26" s="29">
        <v>10</v>
      </c>
      <c r="F26" s="29">
        <v>10</v>
      </c>
      <c r="G26" s="29">
        <v>10</v>
      </c>
      <c r="H26" s="29">
        <v>10</v>
      </c>
      <c r="I26" s="29">
        <v>10</v>
      </c>
      <c r="J26" s="29">
        <v>10</v>
      </c>
      <c r="K26" s="29">
        <v>10</v>
      </c>
      <c r="L26" s="29">
        <v>10</v>
      </c>
      <c r="M26" s="2"/>
      <c r="N26" s="2"/>
      <c r="P26" s="12"/>
    </row>
    <row r="27" spans="1:16" x14ac:dyDescent="0.3">
      <c r="A27" s="8" t="s">
        <v>33</v>
      </c>
      <c r="D27" s="29">
        <v>14</v>
      </c>
      <c r="E27" s="29">
        <v>14</v>
      </c>
      <c r="F27" s="29">
        <v>14</v>
      </c>
      <c r="G27" s="29">
        <v>14</v>
      </c>
      <c r="H27" s="29">
        <v>14</v>
      </c>
      <c r="I27" s="29">
        <v>14</v>
      </c>
      <c r="J27" s="29">
        <v>14</v>
      </c>
      <c r="K27" s="29">
        <v>14</v>
      </c>
      <c r="L27" s="29">
        <v>14</v>
      </c>
      <c r="M27" s="2"/>
      <c r="N27" s="2"/>
      <c r="P27" s="12"/>
    </row>
    <row r="28" spans="1:16" x14ac:dyDescent="0.3">
      <c r="A28" s="8" t="s">
        <v>34</v>
      </c>
      <c r="D28" s="29">
        <v>13</v>
      </c>
      <c r="E28" s="29">
        <v>13</v>
      </c>
      <c r="F28" s="29">
        <v>13</v>
      </c>
      <c r="G28" s="29">
        <v>13</v>
      </c>
      <c r="H28" s="29">
        <v>13</v>
      </c>
      <c r="I28" s="29">
        <v>13</v>
      </c>
      <c r="J28" s="29">
        <v>13</v>
      </c>
      <c r="K28" s="29">
        <v>13</v>
      </c>
      <c r="L28" s="29">
        <v>13</v>
      </c>
      <c r="M28" s="2"/>
      <c r="N28" s="2"/>
      <c r="P28" s="12"/>
    </row>
    <row r="29" spans="1:16" x14ac:dyDescent="0.3">
      <c r="A29" s="8" t="s">
        <v>35</v>
      </c>
      <c r="D29" s="29">
        <v>17</v>
      </c>
      <c r="E29" s="29">
        <v>17</v>
      </c>
      <c r="F29" s="29">
        <v>17</v>
      </c>
      <c r="G29" s="29">
        <v>17</v>
      </c>
      <c r="H29" s="29">
        <v>17</v>
      </c>
      <c r="I29" s="29">
        <v>17</v>
      </c>
      <c r="J29" s="29">
        <v>17</v>
      </c>
      <c r="K29" s="29">
        <v>17</v>
      </c>
      <c r="L29" s="29">
        <v>17</v>
      </c>
      <c r="M29" s="2"/>
      <c r="N29" s="2"/>
      <c r="P29" s="12"/>
    </row>
    <row r="30" spans="1:16" ht="15" thickBot="1" x14ac:dyDescent="0.35">
      <c r="A30" s="16" t="s">
        <v>36</v>
      </c>
      <c r="B30" s="17"/>
      <c r="C30" s="17"/>
      <c r="D30" s="30">
        <v>18</v>
      </c>
      <c r="E30" s="30">
        <v>18</v>
      </c>
      <c r="F30" s="30">
        <v>18</v>
      </c>
      <c r="G30" s="30">
        <v>18</v>
      </c>
      <c r="H30" s="30">
        <v>18</v>
      </c>
      <c r="I30" s="30">
        <v>18</v>
      </c>
      <c r="J30" s="30">
        <v>18</v>
      </c>
      <c r="K30" s="30">
        <v>18</v>
      </c>
      <c r="L30" s="30">
        <v>18</v>
      </c>
      <c r="M30" s="24"/>
      <c r="N30" s="24"/>
      <c r="O30" s="17"/>
      <c r="P30" s="18"/>
    </row>
    <row r="32" spans="1:16" x14ac:dyDescent="0.3">
      <c r="A32" s="3" t="s">
        <v>83</v>
      </c>
    </row>
    <row r="33" spans="1:14" x14ac:dyDescent="0.3">
      <c r="A33" t="s">
        <v>38</v>
      </c>
      <c r="B33" s="20">
        <f>B7</f>
        <v>5.90438E-2</v>
      </c>
      <c r="C33" s="20">
        <f>B33*(1+C21)</f>
        <v>4.1330659999999998E-2</v>
      </c>
      <c r="D33" s="20">
        <f t="shared" ref="D33:L33" si="0">C33*(1+D21)</f>
        <v>2.8931461999999998E-2</v>
      </c>
      <c r="E33" s="20">
        <f t="shared" si="0"/>
        <v>2.0252023399999996E-2</v>
      </c>
      <c r="F33" s="20">
        <f t="shared" si="0"/>
        <v>1.4176416379999996E-2</v>
      </c>
      <c r="G33" s="20">
        <f t="shared" si="0"/>
        <v>9.9234914659999968E-3</v>
      </c>
      <c r="H33" s="20">
        <f t="shared" si="0"/>
        <v>6.9464440261999974E-3</v>
      </c>
      <c r="I33" s="20">
        <f t="shared" si="0"/>
        <v>4.8625108183399978E-3</v>
      </c>
      <c r="J33" s="20">
        <f t="shared" si="0"/>
        <v>3.4037575728379983E-3</v>
      </c>
      <c r="K33" s="20">
        <f t="shared" si="0"/>
        <v>2.3826303009865987E-3</v>
      </c>
      <c r="L33" s="20">
        <f t="shared" si="0"/>
        <v>1.667841210690619E-3</v>
      </c>
      <c r="M33" s="20"/>
      <c r="N33" s="20"/>
    </row>
    <row r="34" spans="1:14" x14ac:dyDescent="0.3">
      <c r="A34" t="s">
        <v>39</v>
      </c>
      <c r="B34" s="20">
        <f>B7</f>
        <v>5.90438E-2</v>
      </c>
      <c r="C34" s="20">
        <f>B34*(1+C22)/(1+C23)</f>
        <v>5.5614758983666059E-2</v>
      </c>
      <c r="D34" s="20">
        <f t="shared" ref="D34:L34" si="1">C34*(1+D22)/(1+D23)</f>
        <v>5.2451773612041487E-2</v>
      </c>
      <c r="E34" s="20">
        <f t="shared" si="1"/>
        <v>4.9209828195061055E-2</v>
      </c>
      <c r="F34" s="20">
        <f t="shared" si="1"/>
        <v>4.6168261323226094E-2</v>
      </c>
      <c r="G34" s="20">
        <f t="shared" si="1"/>
        <v>4.3314687975757313E-2</v>
      </c>
      <c r="H34" s="20">
        <f t="shared" si="1"/>
        <v>4.0637488626702196E-2</v>
      </c>
      <c r="I34" s="20">
        <f t="shared" si="1"/>
        <v>3.812576193114034E-2</v>
      </c>
      <c r="J34" s="20">
        <f t="shared" si="1"/>
        <v>3.5769280335765423E-2</v>
      </c>
      <c r="K34" s="20">
        <f t="shared" si="1"/>
        <v>3.3558448433093573E-2</v>
      </c>
      <c r="L34" s="20">
        <f t="shared" si="1"/>
        <v>3.1484263889719706E-2</v>
      </c>
      <c r="M34" s="20"/>
      <c r="N34" s="20"/>
    </row>
    <row r="35" spans="1:14" x14ac:dyDescent="0.3">
      <c r="A35" t="s">
        <v>40</v>
      </c>
      <c r="B35" s="20">
        <f>B7</f>
        <v>5.90438E-2</v>
      </c>
      <c r="C35" s="20">
        <f>B35*(1+C24)/(1+C25)</f>
        <v>5.7677308968177431E-2</v>
      </c>
      <c r="D35" s="20">
        <f t="shared" ref="D35:L35" si="2">C35*(1+D24)/(1+D25)</f>
        <v>5.6811794614657414E-2</v>
      </c>
      <c r="E35" s="20">
        <f t="shared" si="2"/>
        <v>5.6022741911676055E-2</v>
      </c>
      <c r="F35" s="20">
        <f t="shared" si="2"/>
        <v>5.5244648274013888E-2</v>
      </c>
      <c r="G35" s="20">
        <f t="shared" si="2"/>
        <v>5.4477361492430362E-2</v>
      </c>
      <c r="H35" s="20">
        <f t="shared" si="2"/>
        <v>5.3720731471702164E-2</v>
      </c>
      <c r="I35" s="20">
        <f t="shared" si="2"/>
        <v>5.297461020126186E-2</v>
      </c>
      <c r="J35" s="20">
        <f t="shared" si="2"/>
        <v>5.2238851726244331E-2</v>
      </c>
      <c r="K35" s="20">
        <f t="shared" si="2"/>
        <v>5.1513312118935381E-2</v>
      </c>
      <c r="L35" s="20">
        <f t="shared" si="2"/>
        <v>5.0797849450616835E-2</v>
      </c>
      <c r="M35" s="20"/>
      <c r="N35" s="20"/>
    </row>
    <row r="37" spans="1:14" x14ac:dyDescent="0.3">
      <c r="A37" s="3" t="s">
        <v>42</v>
      </c>
    </row>
    <row r="38" spans="1:14" x14ac:dyDescent="0.3">
      <c r="A38" t="s">
        <v>26</v>
      </c>
      <c r="C38">
        <f>C13</f>
        <v>120</v>
      </c>
      <c r="D38" s="2">
        <f>C38+D26</f>
        <v>130</v>
      </c>
      <c r="E38" s="2">
        <f t="shared" ref="E38:L38" si="3">D38+E26</f>
        <v>140</v>
      </c>
      <c r="F38" s="2">
        <f t="shared" si="3"/>
        <v>150</v>
      </c>
      <c r="G38" s="2">
        <f t="shared" si="3"/>
        <v>160</v>
      </c>
      <c r="H38" s="2">
        <f t="shared" si="3"/>
        <v>170</v>
      </c>
      <c r="I38" s="2">
        <f t="shared" si="3"/>
        <v>180</v>
      </c>
      <c r="J38" s="2">
        <f t="shared" si="3"/>
        <v>190</v>
      </c>
      <c r="K38" s="2">
        <f t="shared" si="3"/>
        <v>200</v>
      </c>
      <c r="L38" s="2">
        <f t="shared" si="3"/>
        <v>210</v>
      </c>
      <c r="M38" s="2"/>
      <c r="N38" s="2"/>
    </row>
    <row r="39" spans="1:14" x14ac:dyDescent="0.3">
      <c r="A39" t="s">
        <v>27</v>
      </c>
      <c r="C39">
        <f>C14</f>
        <v>140</v>
      </c>
      <c r="D39" s="2">
        <f t="shared" ref="D39:L42" si="4">C39+D27</f>
        <v>154</v>
      </c>
      <c r="E39" s="2">
        <f t="shared" si="4"/>
        <v>168</v>
      </c>
      <c r="F39" s="2">
        <f t="shared" si="4"/>
        <v>182</v>
      </c>
      <c r="G39" s="2">
        <f t="shared" si="4"/>
        <v>196</v>
      </c>
      <c r="H39" s="2">
        <f t="shared" si="4"/>
        <v>210</v>
      </c>
      <c r="I39" s="2">
        <f t="shared" si="4"/>
        <v>224</v>
      </c>
      <c r="J39" s="2">
        <f t="shared" si="4"/>
        <v>238</v>
      </c>
      <c r="K39" s="2">
        <f t="shared" si="4"/>
        <v>252</v>
      </c>
      <c r="L39" s="2">
        <f t="shared" si="4"/>
        <v>266</v>
      </c>
      <c r="M39" s="2"/>
      <c r="N39" s="2"/>
    </row>
    <row r="40" spans="1:14" x14ac:dyDescent="0.3">
      <c r="A40" t="s">
        <v>28</v>
      </c>
      <c r="C40">
        <f>C15</f>
        <v>160</v>
      </c>
      <c r="D40" s="2">
        <f t="shared" si="4"/>
        <v>173</v>
      </c>
      <c r="E40" s="2">
        <f t="shared" si="4"/>
        <v>186</v>
      </c>
      <c r="F40" s="2">
        <f t="shared" si="4"/>
        <v>199</v>
      </c>
      <c r="G40" s="2">
        <f t="shared" si="4"/>
        <v>212</v>
      </c>
      <c r="H40" s="2">
        <f t="shared" si="4"/>
        <v>225</v>
      </c>
      <c r="I40" s="2">
        <f t="shared" si="4"/>
        <v>238</v>
      </c>
      <c r="J40" s="2">
        <f t="shared" si="4"/>
        <v>251</v>
      </c>
      <c r="K40" s="2">
        <f t="shared" si="4"/>
        <v>264</v>
      </c>
      <c r="L40" s="2">
        <f t="shared" si="4"/>
        <v>277</v>
      </c>
      <c r="M40" s="2"/>
      <c r="N40" s="2"/>
    </row>
    <row r="41" spans="1:14" x14ac:dyDescent="0.3">
      <c r="A41" t="s">
        <v>29</v>
      </c>
      <c r="C41">
        <f>C16</f>
        <v>170</v>
      </c>
      <c r="D41" s="2">
        <f t="shared" si="4"/>
        <v>187</v>
      </c>
      <c r="E41" s="2">
        <f t="shared" si="4"/>
        <v>204</v>
      </c>
      <c r="F41" s="2">
        <f t="shared" si="4"/>
        <v>221</v>
      </c>
      <c r="G41" s="2">
        <f t="shared" si="4"/>
        <v>238</v>
      </c>
      <c r="H41" s="2">
        <f t="shared" si="4"/>
        <v>255</v>
      </c>
      <c r="I41" s="2">
        <f t="shared" si="4"/>
        <v>272</v>
      </c>
      <c r="J41" s="2">
        <f t="shared" si="4"/>
        <v>289</v>
      </c>
      <c r="K41" s="2">
        <f t="shared" si="4"/>
        <v>306</v>
      </c>
      <c r="L41" s="2">
        <f t="shared" si="4"/>
        <v>323</v>
      </c>
      <c r="M41" s="2"/>
      <c r="N41" s="2"/>
    </row>
    <row r="42" spans="1:14" x14ac:dyDescent="0.3">
      <c r="A42" t="s">
        <v>30</v>
      </c>
      <c r="C42">
        <f>C17</f>
        <v>220</v>
      </c>
      <c r="D42" s="2">
        <f t="shared" si="4"/>
        <v>238</v>
      </c>
      <c r="E42" s="2">
        <f t="shared" si="4"/>
        <v>256</v>
      </c>
      <c r="F42" s="2">
        <f t="shared" si="4"/>
        <v>274</v>
      </c>
      <c r="G42" s="2">
        <f t="shared" si="4"/>
        <v>292</v>
      </c>
      <c r="H42" s="2">
        <f t="shared" si="4"/>
        <v>310</v>
      </c>
      <c r="I42" s="2">
        <f t="shared" si="4"/>
        <v>328</v>
      </c>
      <c r="J42" s="2">
        <f t="shared" si="4"/>
        <v>346</v>
      </c>
      <c r="K42" s="2">
        <f t="shared" si="4"/>
        <v>364</v>
      </c>
      <c r="L42" s="2">
        <f t="shared" si="4"/>
        <v>382</v>
      </c>
      <c r="M42" s="2"/>
      <c r="N42" s="2"/>
    </row>
    <row r="44" spans="1:14" x14ac:dyDescent="0.3">
      <c r="A44" s="3" t="s">
        <v>43</v>
      </c>
    </row>
    <row r="45" spans="1:14" x14ac:dyDescent="0.3">
      <c r="A45" t="s">
        <v>26</v>
      </c>
      <c r="C45" s="1">
        <f>B13</f>
        <v>150000</v>
      </c>
      <c r="D45" s="1">
        <f>C45*(1+C$25)</f>
        <v>155550</v>
      </c>
      <c r="E45" s="1">
        <f t="shared" ref="E45:L45" si="5">D45*(1+D$25)</f>
        <v>158077.68750000003</v>
      </c>
      <c r="F45" s="1">
        <f t="shared" si="5"/>
        <v>159342.30900000004</v>
      </c>
      <c r="G45" s="1">
        <f t="shared" si="5"/>
        <v>160617.04747200003</v>
      </c>
      <c r="H45" s="1">
        <f t="shared" si="5"/>
        <v>161901.98385177602</v>
      </c>
      <c r="I45" s="1">
        <f t="shared" si="5"/>
        <v>163197.19972259025</v>
      </c>
      <c r="J45" s="1">
        <f t="shared" si="5"/>
        <v>164502.77732037098</v>
      </c>
      <c r="K45" s="1">
        <f t="shared" si="5"/>
        <v>165818.79953893396</v>
      </c>
      <c r="L45" s="1">
        <f t="shared" si="5"/>
        <v>167145.34993524544</v>
      </c>
      <c r="M45" s="1"/>
      <c r="N45" s="1"/>
    </row>
    <row r="46" spans="1:14" x14ac:dyDescent="0.3">
      <c r="A46" t="s">
        <v>27</v>
      </c>
      <c r="C46" s="1">
        <f t="shared" ref="C46:C49" si="6">B14</f>
        <v>200000</v>
      </c>
      <c r="D46" s="1">
        <f t="shared" ref="D46:L49" si="7">C46*(1+C$25)</f>
        <v>207399.99999999997</v>
      </c>
      <c r="E46" s="1">
        <f t="shared" si="7"/>
        <v>210770.25</v>
      </c>
      <c r="F46" s="1">
        <f t="shared" si="7"/>
        <v>212456.41200000001</v>
      </c>
      <c r="G46" s="1">
        <f t="shared" si="7"/>
        <v>214156.06329600001</v>
      </c>
      <c r="H46" s="1">
        <f t="shared" si="7"/>
        <v>215869.311802368</v>
      </c>
      <c r="I46" s="1">
        <f t="shared" si="7"/>
        <v>217596.26629678695</v>
      </c>
      <c r="J46" s="1">
        <f t="shared" si="7"/>
        <v>219337.03642716125</v>
      </c>
      <c r="K46" s="1">
        <f t="shared" si="7"/>
        <v>221091.73271857854</v>
      </c>
      <c r="L46" s="1">
        <f t="shared" si="7"/>
        <v>222860.46658032716</v>
      </c>
      <c r="M46" s="1"/>
      <c r="N46" s="1"/>
    </row>
    <row r="47" spans="1:14" x14ac:dyDescent="0.3">
      <c r="A47" t="s">
        <v>28</v>
      </c>
      <c r="C47" s="1">
        <f t="shared" si="6"/>
        <v>270000</v>
      </c>
      <c r="D47" s="1">
        <f t="shared" si="7"/>
        <v>279990</v>
      </c>
      <c r="E47" s="1">
        <f t="shared" si="7"/>
        <v>284539.83750000002</v>
      </c>
      <c r="F47" s="1">
        <f t="shared" si="7"/>
        <v>286816.15620000003</v>
      </c>
      <c r="G47" s="1">
        <f t="shared" si="7"/>
        <v>289110.68544960005</v>
      </c>
      <c r="H47" s="1">
        <f t="shared" si="7"/>
        <v>291423.57093319687</v>
      </c>
      <c r="I47" s="1">
        <f t="shared" si="7"/>
        <v>293754.95950066246</v>
      </c>
      <c r="J47" s="1">
        <f t="shared" si="7"/>
        <v>296104.99917666777</v>
      </c>
      <c r="K47" s="1">
        <f t="shared" si="7"/>
        <v>298473.83917008113</v>
      </c>
      <c r="L47" s="1">
        <f t="shared" si="7"/>
        <v>300861.62988344178</v>
      </c>
      <c r="M47" s="1"/>
      <c r="N47" s="1"/>
    </row>
    <row r="48" spans="1:14" x14ac:dyDescent="0.3">
      <c r="A48" t="s">
        <v>29</v>
      </c>
      <c r="C48" s="1">
        <f t="shared" si="6"/>
        <v>350000</v>
      </c>
      <c r="D48" s="1">
        <f t="shared" si="7"/>
        <v>362950</v>
      </c>
      <c r="E48" s="1">
        <f t="shared" si="7"/>
        <v>368847.93750000006</v>
      </c>
      <c r="F48" s="1">
        <f t="shared" si="7"/>
        <v>371798.72100000008</v>
      </c>
      <c r="G48" s="1">
        <f t="shared" si="7"/>
        <v>374773.11076800007</v>
      </c>
      <c r="H48" s="1">
        <f t="shared" si="7"/>
        <v>377771.29565414408</v>
      </c>
      <c r="I48" s="1">
        <f t="shared" si="7"/>
        <v>380793.46601937723</v>
      </c>
      <c r="J48" s="1">
        <f t="shared" si="7"/>
        <v>383839.81374753226</v>
      </c>
      <c r="K48" s="1">
        <f t="shared" si="7"/>
        <v>386910.5322575125</v>
      </c>
      <c r="L48" s="1">
        <f t="shared" si="7"/>
        <v>390005.8165155726</v>
      </c>
      <c r="M48" s="1"/>
      <c r="N48" s="1"/>
    </row>
    <row r="49" spans="1:14" x14ac:dyDescent="0.3">
      <c r="A49" t="s">
        <v>30</v>
      </c>
      <c r="C49" s="1">
        <f t="shared" si="6"/>
        <v>430000</v>
      </c>
      <c r="D49" s="1">
        <f t="shared" si="7"/>
        <v>445909.99999999994</v>
      </c>
      <c r="E49" s="1">
        <f t="shared" si="7"/>
        <v>453156.03749999998</v>
      </c>
      <c r="F49" s="1">
        <f t="shared" si="7"/>
        <v>456781.28579999995</v>
      </c>
      <c r="G49" s="1">
        <f t="shared" si="7"/>
        <v>460435.53608639998</v>
      </c>
      <c r="H49" s="1">
        <f t="shared" si="7"/>
        <v>464119.02037509118</v>
      </c>
      <c r="I49" s="1">
        <f t="shared" si="7"/>
        <v>467831.97253809188</v>
      </c>
      <c r="J49" s="1">
        <f t="shared" si="7"/>
        <v>471574.62831839663</v>
      </c>
      <c r="K49" s="1">
        <f t="shared" si="7"/>
        <v>475347.22534494381</v>
      </c>
      <c r="L49" s="1">
        <f t="shared" si="7"/>
        <v>479150.00314770336</v>
      </c>
      <c r="M49" s="1"/>
      <c r="N49" s="1"/>
    </row>
    <row r="50" spans="1:14" x14ac:dyDescent="0.3">
      <c r="C50" s="1"/>
      <c r="D50" s="1"/>
      <c r="E50" s="1"/>
      <c r="F50" s="1"/>
      <c r="G50" s="1"/>
      <c r="H50" s="1"/>
      <c r="I50" s="1"/>
      <c r="J50" s="1"/>
      <c r="K50" s="1"/>
      <c r="L50" s="1"/>
      <c r="M50" s="1"/>
      <c r="N50" s="1"/>
    </row>
    <row r="51" spans="1:14" x14ac:dyDescent="0.3">
      <c r="C51" s="1"/>
      <c r="D51" s="1"/>
      <c r="E51" s="1"/>
      <c r="F51" s="1"/>
      <c r="G51" s="1"/>
      <c r="H51" s="1"/>
      <c r="I51" s="1"/>
      <c r="J51" s="1"/>
      <c r="K51" s="1"/>
      <c r="L51" s="1"/>
      <c r="M51" s="1"/>
      <c r="N51" s="1"/>
    </row>
    <row r="52" spans="1:14" x14ac:dyDescent="0.3">
      <c r="A52" s="3" t="s">
        <v>41</v>
      </c>
      <c r="C52" s="1"/>
      <c r="D52" s="1"/>
      <c r="E52" s="1"/>
      <c r="F52" s="1"/>
      <c r="G52" s="1"/>
      <c r="H52" s="1"/>
      <c r="I52" s="1"/>
      <c r="J52" s="1"/>
      <c r="K52" s="1"/>
      <c r="L52" s="1"/>
      <c r="M52" s="1"/>
      <c r="N52" s="1"/>
    </row>
    <row r="53" spans="1:14" x14ac:dyDescent="0.3">
      <c r="A53" t="s">
        <v>26</v>
      </c>
      <c r="C53" s="1">
        <f>C38*C45</f>
        <v>18000000</v>
      </c>
      <c r="D53" s="1">
        <f t="shared" ref="D53:L53" si="8">D38*D45</f>
        <v>20221500</v>
      </c>
      <c r="E53" s="1">
        <f t="shared" si="8"/>
        <v>22130876.250000004</v>
      </c>
      <c r="F53" s="1">
        <f t="shared" si="8"/>
        <v>23901346.350000005</v>
      </c>
      <c r="G53" s="1">
        <f t="shared" si="8"/>
        <v>25698727.595520005</v>
      </c>
      <c r="H53" s="1">
        <f t="shared" si="8"/>
        <v>27523337.254801925</v>
      </c>
      <c r="I53" s="1">
        <f t="shared" si="8"/>
        <v>29375495.950066242</v>
      </c>
      <c r="J53" s="1">
        <f t="shared" si="8"/>
        <v>31255527.690870486</v>
      </c>
      <c r="K53" s="1">
        <f t="shared" si="8"/>
        <v>33163759.907786794</v>
      </c>
      <c r="L53" s="1">
        <f t="shared" si="8"/>
        <v>35100523.486401543</v>
      </c>
      <c r="M53" s="1"/>
      <c r="N53" s="1"/>
    </row>
    <row r="54" spans="1:14" x14ac:dyDescent="0.3">
      <c r="A54" t="s">
        <v>27</v>
      </c>
      <c r="C54" s="1">
        <f t="shared" ref="C54:L57" si="9">C39*C46</f>
        <v>28000000</v>
      </c>
      <c r="D54" s="1">
        <f t="shared" si="9"/>
        <v>31939599.999999996</v>
      </c>
      <c r="E54" s="1">
        <f t="shared" si="9"/>
        <v>35409402</v>
      </c>
      <c r="F54" s="1">
        <f t="shared" si="9"/>
        <v>38667066.984000005</v>
      </c>
      <c r="G54" s="1">
        <f t="shared" si="9"/>
        <v>41974588.406016</v>
      </c>
      <c r="H54" s="1">
        <f t="shared" si="9"/>
        <v>45332555.478497282</v>
      </c>
      <c r="I54" s="1">
        <f t="shared" si="9"/>
        <v>48741563.650480278</v>
      </c>
      <c r="J54" s="1">
        <f t="shared" si="9"/>
        <v>52202214.669664375</v>
      </c>
      <c r="K54" s="1">
        <f t="shared" si="9"/>
        <v>55715116.645081788</v>
      </c>
      <c r="L54" s="1">
        <f t="shared" si="9"/>
        <v>59280884.110367022</v>
      </c>
      <c r="M54" s="1"/>
      <c r="N54" s="1"/>
    </row>
    <row r="55" spans="1:14" x14ac:dyDescent="0.3">
      <c r="A55" t="s">
        <v>28</v>
      </c>
      <c r="C55" s="1">
        <f t="shared" si="9"/>
        <v>43200000</v>
      </c>
      <c r="D55" s="1">
        <f t="shared" si="9"/>
        <v>48438270</v>
      </c>
      <c r="E55" s="1">
        <f t="shared" si="9"/>
        <v>52924409.775000006</v>
      </c>
      <c r="F55" s="1">
        <f t="shared" si="9"/>
        <v>57076415.083800003</v>
      </c>
      <c r="G55" s="1">
        <f t="shared" si="9"/>
        <v>61291465.315315209</v>
      </c>
      <c r="H55" s="1">
        <f t="shared" si="9"/>
        <v>65570303.459969297</v>
      </c>
      <c r="I55" s="1">
        <f t="shared" si="9"/>
        <v>69913680.361157671</v>
      </c>
      <c r="J55" s="1">
        <f t="shared" si="9"/>
        <v>74322354.793343604</v>
      </c>
      <c r="K55" s="1">
        <f t="shared" si="9"/>
        <v>78797093.540901423</v>
      </c>
      <c r="L55" s="1">
        <f t="shared" si="9"/>
        <v>83338671.477713376</v>
      </c>
      <c r="M55" s="1"/>
      <c r="N55" s="1"/>
    </row>
    <row r="56" spans="1:14" x14ac:dyDescent="0.3">
      <c r="A56" t="s">
        <v>29</v>
      </c>
      <c r="C56" s="1">
        <f t="shared" si="9"/>
        <v>59500000</v>
      </c>
      <c r="D56" s="1">
        <f t="shared" si="9"/>
        <v>67871650</v>
      </c>
      <c r="E56" s="1">
        <f t="shared" si="9"/>
        <v>75244979.250000015</v>
      </c>
      <c r="F56" s="1">
        <f t="shared" si="9"/>
        <v>82167517.341000021</v>
      </c>
      <c r="G56" s="1">
        <f t="shared" si="9"/>
        <v>89196000.362784013</v>
      </c>
      <c r="H56" s="1">
        <f t="shared" si="9"/>
        <v>96331680.391806737</v>
      </c>
      <c r="I56" s="1">
        <f t="shared" si="9"/>
        <v>103575822.7572706</v>
      </c>
      <c r="J56" s="1">
        <f t="shared" si="9"/>
        <v>110929706.17303683</v>
      </c>
      <c r="K56" s="1">
        <f t="shared" si="9"/>
        <v>118394622.87079883</v>
      </c>
      <c r="L56" s="1">
        <f t="shared" si="9"/>
        <v>125971878.73452996</v>
      </c>
      <c r="M56" s="1"/>
      <c r="N56" s="1"/>
    </row>
    <row r="57" spans="1:14" x14ac:dyDescent="0.3">
      <c r="A57" t="s">
        <v>30</v>
      </c>
      <c r="C57" s="1">
        <f t="shared" si="9"/>
        <v>94600000</v>
      </c>
      <c r="D57" s="1">
        <f t="shared" si="9"/>
        <v>106126579.99999999</v>
      </c>
      <c r="E57" s="1">
        <f t="shared" si="9"/>
        <v>116007945.59999999</v>
      </c>
      <c r="F57" s="1">
        <f t="shared" si="9"/>
        <v>125158072.30919999</v>
      </c>
      <c r="G57" s="1">
        <f t="shared" si="9"/>
        <v>134447176.53722879</v>
      </c>
      <c r="H57" s="1">
        <f t="shared" si="9"/>
        <v>143876896.31627828</v>
      </c>
      <c r="I57" s="1">
        <f t="shared" si="9"/>
        <v>153448886.99249414</v>
      </c>
      <c r="J57" s="1">
        <f t="shared" si="9"/>
        <v>163164821.39816523</v>
      </c>
      <c r="K57" s="1">
        <f t="shared" si="9"/>
        <v>173026390.02555954</v>
      </c>
      <c r="L57" s="1">
        <f t="shared" si="9"/>
        <v>183035301.20242268</v>
      </c>
      <c r="M57" s="1"/>
      <c r="N57" s="1"/>
    </row>
    <row r="58" spans="1:14" x14ac:dyDescent="0.3">
      <c r="C58" s="1"/>
      <c r="D58" s="1"/>
      <c r="E58" s="1"/>
      <c r="F58" s="1"/>
      <c r="G58" s="1"/>
      <c r="H58" s="1"/>
      <c r="I58" s="1"/>
      <c r="J58" s="1"/>
      <c r="K58" s="1"/>
      <c r="L58" s="1"/>
      <c r="M58" s="1"/>
      <c r="N58" s="1"/>
    </row>
    <row r="59" spans="1:14" x14ac:dyDescent="0.3">
      <c r="A59" s="3" t="s">
        <v>44</v>
      </c>
      <c r="C59" s="1">
        <f>SUM(C53:C57)</f>
        <v>243300000</v>
      </c>
      <c r="D59" s="1">
        <f t="shared" ref="D59:L59" si="10">SUM(D53:D57)</f>
        <v>274597600</v>
      </c>
      <c r="E59" s="1">
        <f t="shared" si="10"/>
        <v>301717612.875</v>
      </c>
      <c r="F59" s="1">
        <f t="shared" si="10"/>
        <v>326970418.06800002</v>
      </c>
      <c r="G59" s="1">
        <f t="shared" si="10"/>
        <v>352607958.21686399</v>
      </c>
      <c r="H59" s="1">
        <f t="shared" si="10"/>
        <v>378634772.90135354</v>
      </c>
      <c r="I59" s="1">
        <f t="shared" si="10"/>
        <v>405055449.71146894</v>
      </c>
      <c r="J59" s="1">
        <f t="shared" si="10"/>
        <v>431874624.72508049</v>
      </c>
      <c r="K59" s="1">
        <f t="shared" si="10"/>
        <v>459096982.9901284</v>
      </c>
      <c r="L59" s="1">
        <f t="shared" si="10"/>
        <v>486727259.01143456</v>
      </c>
      <c r="M59" s="1"/>
      <c r="N59" s="1"/>
    </row>
    <row r="60" spans="1:14" x14ac:dyDescent="0.3">
      <c r="C60" s="1"/>
      <c r="D60" s="1"/>
      <c r="E60" s="1"/>
      <c r="F60" s="1"/>
      <c r="G60" s="1"/>
      <c r="H60" s="1"/>
      <c r="I60" s="1"/>
      <c r="J60" s="1"/>
      <c r="K60" s="1"/>
      <c r="L60" s="1"/>
      <c r="M60" s="1"/>
      <c r="N60" s="1"/>
    </row>
    <row r="61" spans="1:14" x14ac:dyDescent="0.3">
      <c r="C61" s="1"/>
      <c r="D61" s="1"/>
      <c r="E61" s="1"/>
      <c r="F61" s="1"/>
      <c r="G61" s="1"/>
      <c r="H61" s="1"/>
      <c r="I61" s="1"/>
      <c r="J61" s="1"/>
      <c r="K61" s="1"/>
      <c r="L61" s="1"/>
      <c r="M61" s="1"/>
      <c r="N61" s="1"/>
    </row>
    <row r="62" spans="1:14" x14ac:dyDescent="0.3">
      <c r="A62" s="3" t="s">
        <v>45</v>
      </c>
      <c r="C62" s="1"/>
      <c r="D62" s="1"/>
      <c r="E62" s="1"/>
      <c r="F62" s="1"/>
      <c r="G62" s="1"/>
      <c r="H62" s="1"/>
      <c r="I62" s="1"/>
      <c r="J62" s="1"/>
      <c r="K62" s="1"/>
      <c r="L62" s="1"/>
      <c r="M62" s="1"/>
      <c r="N62" s="1"/>
    </row>
    <row r="63" spans="1:14" x14ac:dyDescent="0.3">
      <c r="A63" t="s">
        <v>46</v>
      </c>
      <c r="C63" s="1">
        <f>F5</f>
        <v>2500000</v>
      </c>
      <c r="D63" s="1">
        <f>C63*(1+C25)</f>
        <v>2592500</v>
      </c>
      <c r="E63" s="1">
        <f t="shared" ref="E63:L63" si="11">D63*(1+D25)</f>
        <v>2634628.1250000005</v>
      </c>
      <c r="F63" s="1">
        <f t="shared" si="11"/>
        <v>2655705.1500000004</v>
      </c>
      <c r="G63" s="1">
        <f t="shared" si="11"/>
        <v>2676950.7912000003</v>
      </c>
      <c r="H63" s="1">
        <f t="shared" si="11"/>
        <v>2698366.3975296002</v>
      </c>
      <c r="I63" s="1">
        <f t="shared" si="11"/>
        <v>2719953.328709837</v>
      </c>
      <c r="J63" s="1">
        <f t="shared" si="11"/>
        <v>2741712.9553395156</v>
      </c>
      <c r="K63" s="1">
        <f t="shared" si="11"/>
        <v>2763646.6589822317</v>
      </c>
      <c r="L63" s="1">
        <f t="shared" si="11"/>
        <v>2785755.8322540894</v>
      </c>
      <c r="M63" s="1"/>
      <c r="N63" s="1"/>
    </row>
    <row r="64" spans="1:14" x14ac:dyDescent="0.3">
      <c r="A64" t="s">
        <v>47</v>
      </c>
      <c r="C64" s="1">
        <f>C59*$G$5</f>
        <v>85155</v>
      </c>
      <c r="D64" s="1">
        <f t="shared" ref="D64:L64" si="12">D59*$G$5</f>
        <v>96109.16</v>
      </c>
      <c r="E64" s="1">
        <f t="shared" si="12"/>
        <v>105601.16450625</v>
      </c>
      <c r="F64" s="1">
        <f t="shared" si="12"/>
        <v>114439.6463238</v>
      </c>
      <c r="G64" s="1">
        <f t="shared" si="12"/>
        <v>123412.7853759024</v>
      </c>
      <c r="H64" s="1">
        <f t="shared" si="12"/>
        <v>132522.17051547373</v>
      </c>
      <c r="I64" s="1">
        <f t="shared" si="12"/>
        <v>141769.40739901413</v>
      </c>
      <c r="J64" s="1">
        <f t="shared" si="12"/>
        <v>151156.11865377816</v>
      </c>
      <c r="K64" s="1">
        <f t="shared" si="12"/>
        <v>160683.94404654493</v>
      </c>
      <c r="L64" s="1">
        <f t="shared" si="12"/>
        <v>170354.54065400211</v>
      </c>
      <c r="M64" s="1"/>
      <c r="N64" s="1"/>
    </row>
    <row r="65" spans="1:14" x14ac:dyDescent="0.3">
      <c r="A65" t="s">
        <v>48</v>
      </c>
      <c r="C65" s="1">
        <f>F6</f>
        <v>1900000</v>
      </c>
      <c r="D65" s="1">
        <f>C65*(1+C25)</f>
        <v>1970299.9999999998</v>
      </c>
      <c r="E65" s="1">
        <f t="shared" ref="E65:L65" si="13">D65*(1+D25)</f>
        <v>2002317.375</v>
      </c>
      <c r="F65" s="1">
        <f t="shared" si="13"/>
        <v>2018335.9140000001</v>
      </c>
      <c r="G65" s="1">
        <f t="shared" si="13"/>
        <v>2034482.6013120001</v>
      </c>
      <c r="H65" s="1">
        <f t="shared" si="13"/>
        <v>2050758.462122496</v>
      </c>
      <c r="I65" s="1">
        <f t="shared" si="13"/>
        <v>2067164.529819476</v>
      </c>
      <c r="J65" s="1">
        <f t="shared" si="13"/>
        <v>2083701.8460580318</v>
      </c>
      <c r="K65" s="1">
        <f t="shared" si="13"/>
        <v>2100371.4608264961</v>
      </c>
      <c r="L65" s="1">
        <f t="shared" si="13"/>
        <v>2117174.432513108</v>
      </c>
      <c r="M65" s="1"/>
      <c r="N65" s="1"/>
    </row>
    <row r="66" spans="1:14" x14ac:dyDescent="0.3">
      <c r="A66" t="s">
        <v>49</v>
      </c>
      <c r="C66" s="1">
        <f>C59*$G$6</f>
        <v>60825</v>
      </c>
      <c r="D66" s="1">
        <f t="shared" ref="D66:L66" si="14">D59*$G$6</f>
        <v>68649.399999999994</v>
      </c>
      <c r="E66" s="1">
        <f t="shared" si="14"/>
        <v>75429.403218749998</v>
      </c>
      <c r="F66" s="1">
        <f t="shared" si="14"/>
        <v>81742.604517</v>
      </c>
      <c r="G66" s="1">
        <f t="shared" si="14"/>
        <v>88151.989554215994</v>
      </c>
      <c r="H66" s="1">
        <f t="shared" si="14"/>
        <v>94658.693225338386</v>
      </c>
      <c r="I66" s="1">
        <f t="shared" si="14"/>
        <v>101263.86242786724</v>
      </c>
      <c r="J66" s="1">
        <f t="shared" si="14"/>
        <v>107968.65618127013</v>
      </c>
      <c r="K66" s="1">
        <f t="shared" si="14"/>
        <v>114774.2457475321</v>
      </c>
      <c r="L66" s="1">
        <f t="shared" si="14"/>
        <v>121681.81475285864</v>
      </c>
      <c r="M66" s="1"/>
      <c r="N66" s="1"/>
    </row>
    <row r="67" spans="1:14" x14ac:dyDescent="0.3">
      <c r="A67" t="s">
        <v>50</v>
      </c>
      <c r="C67" s="1">
        <f>F7</f>
        <v>1900000</v>
      </c>
      <c r="D67" s="1">
        <f>C67*(1+C25)</f>
        <v>1970299.9999999998</v>
      </c>
      <c r="E67" s="1">
        <f t="shared" ref="E67:L67" si="15">D67*(1+D25)</f>
        <v>2002317.375</v>
      </c>
      <c r="F67" s="1">
        <f t="shared" si="15"/>
        <v>2018335.9140000001</v>
      </c>
      <c r="G67" s="1">
        <f t="shared" si="15"/>
        <v>2034482.6013120001</v>
      </c>
      <c r="H67" s="1">
        <f t="shared" si="15"/>
        <v>2050758.462122496</v>
      </c>
      <c r="I67" s="1">
        <f t="shared" si="15"/>
        <v>2067164.529819476</v>
      </c>
      <c r="J67" s="1">
        <f t="shared" si="15"/>
        <v>2083701.8460580318</v>
      </c>
      <c r="K67" s="1">
        <f t="shared" si="15"/>
        <v>2100371.4608264961</v>
      </c>
      <c r="L67" s="1">
        <f t="shared" si="15"/>
        <v>2117174.432513108</v>
      </c>
      <c r="M67" s="1"/>
      <c r="N67" s="1"/>
    </row>
    <row r="68" spans="1:14" x14ac:dyDescent="0.3">
      <c r="A68" t="s">
        <v>51</v>
      </c>
      <c r="C68" s="1">
        <f>C59*$G$7</f>
        <v>60825</v>
      </c>
      <c r="D68" s="1">
        <f t="shared" ref="D68:L68" si="16">D59*$G$7</f>
        <v>68649.399999999994</v>
      </c>
      <c r="E68" s="1">
        <f t="shared" si="16"/>
        <v>75429.403218749998</v>
      </c>
      <c r="F68" s="1">
        <f t="shared" si="16"/>
        <v>81742.604517</v>
      </c>
      <c r="G68" s="1">
        <f t="shared" si="16"/>
        <v>88151.989554215994</v>
      </c>
      <c r="H68" s="1">
        <f t="shared" si="16"/>
        <v>94658.693225338386</v>
      </c>
      <c r="I68" s="1">
        <f t="shared" si="16"/>
        <v>101263.86242786724</v>
      </c>
      <c r="J68" s="1">
        <f t="shared" si="16"/>
        <v>107968.65618127013</v>
      </c>
      <c r="K68" s="1">
        <f t="shared" si="16"/>
        <v>114774.2457475321</v>
      </c>
      <c r="L68" s="1">
        <f t="shared" si="16"/>
        <v>121681.81475285864</v>
      </c>
      <c r="M68" s="1"/>
      <c r="N68" s="1"/>
    </row>
    <row r="69" spans="1:14" x14ac:dyDescent="0.3">
      <c r="A69" t="s">
        <v>52</v>
      </c>
      <c r="C69" s="1">
        <f>F8</f>
        <v>1900000</v>
      </c>
      <c r="D69" s="1">
        <f>C69*(1+C25)</f>
        <v>1970299.9999999998</v>
      </c>
      <c r="E69" s="1">
        <f t="shared" ref="E69:L69" si="17">D69*(1+D25)</f>
        <v>2002317.375</v>
      </c>
      <c r="F69" s="1">
        <f t="shared" si="17"/>
        <v>2018335.9140000001</v>
      </c>
      <c r="G69" s="1">
        <f t="shared" si="17"/>
        <v>2034482.6013120001</v>
      </c>
      <c r="H69" s="1">
        <f t="shared" si="17"/>
        <v>2050758.462122496</v>
      </c>
      <c r="I69" s="1">
        <f t="shared" si="17"/>
        <v>2067164.529819476</v>
      </c>
      <c r="J69" s="1">
        <f t="shared" si="17"/>
        <v>2083701.8460580318</v>
      </c>
      <c r="K69" s="1">
        <f t="shared" si="17"/>
        <v>2100371.4608264961</v>
      </c>
      <c r="L69" s="1">
        <f t="shared" si="17"/>
        <v>2117174.432513108</v>
      </c>
      <c r="M69" s="1"/>
      <c r="N69" s="1"/>
    </row>
    <row r="70" spans="1:14" x14ac:dyDescent="0.3">
      <c r="A70" t="s">
        <v>53</v>
      </c>
      <c r="C70" s="1">
        <f>C59*$G$8</f>
        <v>60825</v>
      </c>
      <c r="D70" s="1">
        <f t="shared" ref="D70:L70" si="18">D59*$G$8</f>
        <v>68649.399999999994</v>
      </c>
      <c r="E70" s="1">
        <f t="shared" si="18"/>
        <v>75429.403218749998</v>
      </c>
      <c r="F70" s="1">
        <f t="shared" si="18"/>
        <v>81742.604517</v>
      </c>
      <c r="G70" s="1">
        <f t="shared" si="18"/>
        <v>88151.989554215994</v>
      </c>
      <c r="H70" s="1">
        <f t="shared" si="18"/>
        <v>94658.693225338386</v>
      </c>
      <c r="I70" s="1">
        <f t="shared" si="18"/>
        <v>101263.86242786724</v>
      </c>
      <c r="J70" s="1">
        <f t="shared" si="18"/>
        <v>107968.65618127013</v>
      </c>
      <c r="K70" s="1">
        <f t="shared" si="18"/>
        <v>114774.2457475321</v>
      </c>
      <c r="L70" s="1">
        <f t="shared" si="18"/>
        <v>121681.81475285864</v>
      </c>
      <c r="M70" s="1"/>
      <c r="N70" s="1"/>
    </row>
    <row r="71" spans="1:14" x14ac:dyDescent="0.3">
      <c r="A71" t="s">
        <v>102</v>
      </c>
      <c r="C71" s="1">
        <f>J5+J6+J7+J8</f>
        <v>3000000</v>
      </c>
      <c r="D71" s="1">
        <f>C71*(1+C25)</f>
        <v>3110999.9999999995</v>
      </c>
      <c r="E71" s="1">
        <f t="shared" ref="E71:L71" si="19">D71*(1+D25)</f>
        <v>3161553.75</v>
      </c>
      <c r="F71" s="1">
        <f t="shared" si="19"/>
        <v>3186846.18</v>
      </c>
      <c r="G71" s="1">
        <f t="shared" si="19"/>
        <v>3212340.9494400001</v>
      </c>
      <c r="H71" s="1">
        <f t="shared" si="19"/>
        <v>3238039.6770355203</v>
      </c>
      <c r="I71" s="1">
        <f t="shared" si="19"/>
        <v>3263943.9944518046</v>
      </c>
      <c r="J71" s="1">
        <f t="shared" si="19"/>
        <v>3290055.5464074188</v>
      </c>
      <c r="K71" s="1">
        <f t="shared" si="19"/>
        <v>3316375.9907786781</v>
      </c>
      <c r="L71" s="1">
        <f t="shared" si="19"/>
        <v>3342906.9987049075</v>
      </c>
      <c r="M71" s="1"/>
      <c r="N71" s="1"/>
    </row>
    <row r="72" spans="1:14" x14ac:dyDescent="0.3">
      <c r="A72" t="s">
        <v>54</v>
      </c>
      <c r="C72" s="1">
        <f>N5*O5</f>
        <v>9000000</v>
      </c>
      <c r="D72" s="1">
        <f>C72*(1+C25)</f>
        <v>9333000</v>
      </c>
      <c r="E72" s="1">
        <f t="shared" ref="E72:L72" si="20">D72*(1+D25)</f>
        <v>9484661.25</v>
      </c>
      <c r="F72" s="1">
        <f t="shared" si="20"/>
        <v>9560538.540000001</v>
      </c>
      <c r="G72" s="1">
        <f t="shared" si="20"/>
        <v>9637022.8483200017</v>
      </c>
      <c r="H72" s="1">
        <f t="shared" si="20"/>
        <v>9714119.0311065614</v>
      </c>
      <c r="I72" s="1">
        <f t="shared" si="20"/>
        <v>9791831.9833554141</v>
      </c>
      <c r="J72" s="1">
        <f t="shared" si="20"/>
        <v>9870166.6392222568</v>
      </c>
      <c r="K72" s="1">
        <f t="shared" si="20"/>
        <v>9949127.9723360352</v>
      </c>
      <c r="L72" s="1">
        <f t="shared" si="20"/>
        <v>10028720.996114723</v>
      </c>
      <c r="M72" s="1"/>
      <c r="N72" s="1"/>
    </row>
    <row r="73" spans="1:14" x14ac:dyDescent="0.3">
      <c r="A73" t="s">
        <v>55</v>
      </c>
      <c r="C73" s="1">
        <f>C59*$P$5</f>
        <v>36495</v>
      </c>
      <c r="D73" s="1">
        <f t="shared" ref="D73:L73" si="21">D59*$P$5</f>
        <v>41189.64</v>
      </c>
      <c r="E73" s="1">
        <f t="shared" si="21"/>
        <v>45257.641931249993</v>
      </c>
      <c r="F73" s="1">
        <f t="shared" si="21"/>
        <v>49045.5627102</v>
      </c>
      <c r="G73" s="1">
        <f t="shared" si="21"/>
        <v>52891.193732529595</v>
      </c>
      <c r="H73" s="1">
        <f t="shared" si="21"/>
        <v>56795.215935203028</v>
      </c>
      <c r="I73" s="1">
        <f t="shared" si="21"/>
        <v>60758.317456720331</v>
      </c>
      <c r="J73" s="1">
        <f t="shared" si="21"/>
        <v>64781.193708762068</v>
      </c>
      <c r="K73" s="1">
        <f t="shared" si="21"/>
        <v>68864.547448519254</v>
      </c>
      <c r="L73" s="1">
        <f t="shared" si="21"/>
        <v>73009.088851715176</v>
      </c>
      <c r="M73" s="1"/>
      <c r="N73" s="1"/>
    </row>
    <row r="74" spans="1:14" x14ac:dyDescent="0.3">
      <c r="A74" t="s">
        <v>56</v>
      </c>
      <c r="C74" s="1">
        <f>N6*O6</f>
        <v>8000000</v>
      </c>
      <c r="D74" s="1">
        <f>C74*(1+C25)</f>
        <v>8295999.9999999991</v>
      </c>
      <c r="E74" s="1">
        <f t="shared" ref="E74:L74" si="22">D74*(1+D25)</f>
        <v>8430810</v>
      </c>
      <c r="F74" s="1">
        <f t="shared" si="22"/>
        <v>8498256.4800000004</v>
      </c>
      <c r="G74" s="1">
        <f t="shared" si="22"/>
        <v>8566242.5318400003</v>
      </c>
      <c r="H74" s="1">
        <f t="shared" si="22"/>
        <v>8634772.4720947202</v>
      </c>
      <c r="I74" s="1">
        <f t="shared" si="22"/>
        <v>8703850.6518714782</v>
      </c>
      <c r="J74" s="1">
        <f t="shared" si="22"/>
        <v>8773481.4570864495</v>
      </c>
      <c r="K74" s="1">
        <f t="shared" si="22"/>
        <v>8843669.3087431416</v>
      </c>
      <c r="L74" s="1">
        <f t="shared" si="22"/>
        <v>8914418.6632130872</v>
      </c>
      <c r="M74" s="1"/>
      <c r="N74" s="1"/>
    </row>
    <row r="75" spans="1:14" x14ac:dyDescent="0.3">
      <c r="A75" t="s">
        <v>57</v>
      </c>
      <c r="C75" s="1">
        <f t="shared" ref="C75:C76" si="23">N7*O7</f>
        <v>24000000</v>
      </c>
      <c r="D75" s="1">
        <f>C75*(1+C25)</f>
        <v>24887999.999999996</v>
      </c>
      <c r="E75" s="1">
        <f t="shared" ref="E75:L75" si="24">D75*(1+D25)</f>
        <v>25292430</v>
      </c>
      <c r="F75" s="1">
        <f t="shared" si="24"/>
        <v>25494769.440000001</v>
      </c>
      <c r="G75" s="1">
        <f t="shared" si="24"/>
        <v>25698727.595520001</v>
      </c>
      <c r="H75" s="1">
        <f t="shared" si="24"/>
        <v>25904317.416284163</v>
      </c>
      <c r="I75" s="1">
        <f t="shared" si="24"/>
        <v>26111551.955614436</v>
      </c>
      <c r="J75" s="1">
        <f t="shared" si="24"/>
        <v>26320444.37125935</v>
      </c>
      <c r="K75" s="1">
        <f t="shared" si="24"/>
        <v>26531007.926229425</v>
      </c>
      <c r="L75" s="1">
        <f t="shared" si="24"/>
        <v>26743255.98963926</v>
      </c>
      <c r="M75" s="1"/>
      <c r="N75" s="1"/>
    </row>
    <row r="76" spans="1:14" x14ac:dyDescent="0.3">
      <c r="A76" t="s">
        <v>58</v>
      </c>
      <c r="C76" s="1">
        <f t="shared" si="23"/>
        <v>8000000</v>
      </c>
      <c r="D76" s="1">
        <f>C76*(1+C25)</f>
        <v>8295999.9999999991</v>
      </c>
      <c r="E76" s="1">
        <f t="shared" ref="E76:L76" si="25">D76*(1+D25)</f>
        <v>8430810</v>
      </c>
      <c r="F76" s="1">
        <f t="shared" si="25"/>
        <v>8498256.4800000004</v>
      </c>
      <c r="G76" s="1">
        <f t="shared" si="25"/>
        <v>8566242.5318400003</v>
      </c>
      <c r="H76" s="1">
        <f t="shared" si="25"/>
        <v>8634772.4720947202</v>
      </c>
      <c r="I76" s="1">
        <f t="shared" si="25"/>
        <v>8703850.6518714782</v>
      </c>
      <c r="J76" s="1">
        <f t="shared" si="25"/>
        <v>8773481.4570864495</v>
      </c>
      <c r="K76" s="1">
        <f t="shared" si="25"/>
        <v>8843669.3087431416</v>
      </c>
      <c r="L76" s="1">
        <f t="shared" si="25"/>
        <v>8914418.6632130872</v>
      </c>
      <c r="M76" s="1"/>
      <c r="N76" s="1"/>
    </row>
    <row r="77" spans="1:14" x14ac:dyDescent="0.3">
      <c r="A77" t="s">
        <v>59</v>
      </c>
      <c r="C77" s="1">
        <f>C53*$D$13</f>
        <v>7920000</v>
      </c>
      <c r="D77" s="1">
        <f t="shared" ref="D77:L77" si="26">D53*$D$13</f>
        <v>8897460</v>
      </c>
      <c r="E77" s="1">
        <f t="shared" si="26"/>
        <v>9737585.5500000026</v>
      </c>
      <c r="F77" s="1">
        <f t="shared" si="26"/>
        <v>10516592.394000003</v>
      </c>
      <c r="G77" s="1">
        <f t="shared" si="26"/>
        <v>11307440.142028803</v>
      </c>
      <c r="H77" s="1">
        <f t="shared" si="26"/>
        <v>12110268.392112847</v>
      </c>
      <c r="I77" s="1">
        <f t="shared" si="26"/>
        <v>12925218.218029147</v>
      </c>
      <c r="J77" s="1">
        <f t="shared" si="26"/>
        <v>13752432.183983015</v>
      </c>
      <c r="K77" s="1">
        <f t="shared" si="26"/>
        <v>14592054.359426189</v>
      </c>
      <c r="L77" s="1">
        <f t="shared" si="26"/>
        <v>15444230.334016679</v>
      </c>
      <c r="M77" s="1"/>
      <c r="N77" s="1"/>
    </row>
    <row r="78" spans="1:14" x14ac:dyDescent="0.3">
      <c r="A78" t="s">
        <v>60</v>
      </c>
      <c r="C78" s="1">
        <f>C54*$D$14</f>
        <v>8119999.9999999991</v>
      </c>
      <c r="D78" s="1">
        <f t="shared" ref="D78:L78" si="27">D54*$D$14</f>
        <v>9262483.9999999981</v>
      </c>
      <c r="E78" s="1">
        <f t="shared" si="27"/>
        <v>10268726.58</v>
      </c>
      <c r="F78" s="1">
        <f t="shared" si="27"/>
        <v>11213449.42536</v>
      </c>
      <c r="G78" s="1">
        <f t="shared" si="27"/>
        <v>12172630.637744639</v>
      </c>
      <c r="H78" s="1">
        <f t="shared" si="27"/>
        <v>13146441.088764211</v>
      </c>
      <c r="I78" s="1">
        <f t="shared" si="27"/>
        <v>14135053.458639279</v>
      </c>
      <c r="J78" s="1">
        <f t="shared" si="27"/>
        <v>15138642.254202668</v>
      </c>
      <c r="K78" s="1">
        <f t="shared" si="27"/>
        <v>16157383.827073717</v>
      </c>
      <c r="L78" s="1">
        <f t="shared" si="27"/>
        <v>17191456.392006435</v>
      </c>
      <c r="M78" s="1"/>
      <c r="N78" s="1"/>
    </row>
    <row r="79" spans="1:14" x14ac:dyDescent="0.3">
      <c r="A79" t="s">
        <v>61</v>
      </c>
      <c r="C79" s="1">
        <f>C55*$D$15</f>
        <v>11664000</v>
      </c>
      <c r="D79" s="1">
        <f t="shared" ref="D79:L79" si="28">D55*$D$15</f>
        <v>13078332.9</v>
      </c>
      <c r="E79" s="1">
        <f t="shared" si="28"/>
        <v>14289590.639250003</v>
      </c>
      <c r="F79" s="1">
        <f t="shared" si="28"/>
        <v>15410632.072626002</v>
      </c>
      <c r="G79" s="1">
        <f t="shared" si="28"/>
        <v>16548695.635135107</v>
      </c>
      <c r="H79" s="1">
        <f t="shared" si="28"/>
        <v>17703981.934191711</v>
      </c>
      <c r="I79" s="1">
        <f t="shared" si="28"/>
        <v>18876693.697512571</v>
      </c>
      <c r="J79" s="1">
        <f t="shared" si="28"/>
        <v>20067035.794202775</v>
      </c>
      <c r="K79" s="1">
        <f t="shared" si="28"/>
        <v>21275215.256043386</v>
      </c>
      <c r="L79" s="1">
        <f t="shared" si="28"/>
        <v>22501441.298982613</v>
      </c>
      <c r="M79" s="1"/>
      <c r="N79" s="1"/>
    </row>
    <row r="80" spans="1:14" x14ac:dyDescent="0.3">
      <c r="A80" t="s">
        <v>62</v>
      </c>
      <c r="C80" s="1">
        <f>C56*$D$16</f>
        <v>21420000</v>
      </c>
      <c r="D80" s="1">
        <f t="shared" ref="D80:L80" si="29">D56*$D$16</f>
        <v>24433794</v>
      </c>
      <c r="E80" s="1">
        <f t="shared" si="29"/>
        <v>27088192.530000005</v>
      </c>
      <c r="F80" s="1">
        <f t="shared" si="29"/>
        <v>29580306.242760006</v>
      </c>
      <c r="G80" s="1">
        <f t="shared" si="29"/>
        <v>32110560.130602244</v>
      </c>
      <c r="H80" s="1">
        <f t="shared" si="29"/>
        <v>34679404.941050425</v>
      </c>
      <c r="I80" s="1">
        <f t="shared" si="29"/>
        <v>37287296.192617416</v>
      </c>
      <c r="J80" s="1">
        <f t="shared" si="29"/>
        <v>39934694.222293258</v>
      </c>
      <c r="K80" s="1">
        <f t="shared" si="29"/>
        <v>42622064.233487576</v>
      </c>
      <c r="L80" s="1">
        <f t="shared" si="29"/>
        <v>45349876.344430782</v>
      </c>
      <c r="M80" s="1"/>
      <c r="N80" s="1"/>
    </row>
    <row r="81" spans="1:16" x14ac:dyDescent="0.3">
      <c r="A81" t="s">
        <v>63</v>
      </c>
      <c r="C81" s="1">
        <f>C57*$D$17</f>
        <v>19866000</v>
      </c>
      <c r="D81" s="1">
        <f t="shared" ref="D81:L81" si="30">D57*$D$17</f>
        <v>22286581.799999997</v>
      </c>
      <c r="E81" s="1">
        <f t="shared" si="30"/>
        <v>24361668.575999998</v>
      </c>
      <c r="F81" s="1">
        <f t="shared" si="30"/>
        <v>26283195.184931997</v>
      </c>
      <c r="G81" s="1">
        <f t="shared" si="30"/>
        <v>28233907.072818045</v>
      </c>
      <c r="H81" s="1">
        <f t="shared" si="30"/>
        <v>30214148.226418436</v>
      </c>
      <c r="I81" s="1">
        <f t="shared" si="30"/>
        <v>32224266.268423766</v>
      </c>
      <c r="J81" s="1">
        <f t="shared" si="30"/>
        <v>34264612.493614696</v>
      </c>
      <c r="K81" s="1">
        <f t="shared" si="30"/>
        <v>36335541.905367501</v>
      </c>
      <c r="L81" s="1">
        <f t="shared" si="30"/>
        <v>38437413.252508759</v>
      </c>
      <c r="M81" s="1"/>
      <c r="N81" s="1"/>
    </row>
    <row r="82" spans="1:16" x14ac:dyDescent="0.3">
      <c r="A82" t="s">
        <v>64</v>
      </c>
      <c r="C82" s="1">
        <f>(B8*B11)/C8</f>
        <v>8000000</v>
      </c>
      <c r="D82" s="1">
        <f>C82</f>
        <v>8000000</v>
      </c>
      <c r="E82" s="1">
        <f t="shared" ref="E82:L84" si="31">D82</f>
        <v>8000000</v>
      </c>
      <c r="F82" s="1">
        <f t="shared" si="31"/>
        <v>8000000</v>
      </c>
      <c r="G82" s="1">
        <f t="shared" si="31"/>
        <v>8000000</v>
      </c>
      <c r="H82" s="1">
        <f t="shared" si="31"/>
        <v>8000000</v>
      </c>
      <c r="I82" s="1">
        <f t="shared" si="31"/>
        <v>8000000</v>
      </c>
      <c r="J82" s="1">
        <f t="shared" si="31"/>
        <v>8000000</v>
      </c>
      <c r="K82" s="1">
        <f t="shared" si="31"/>
        <v>8000000</v>
      </c>
      <c r="L82" s="1">
        <f t="shared" si="31"/>
        <v>8000000</v>
      </c>
      <c r="M82" s="1"/>
      <c r="N82" s="1"/>
    </row>
    <row r="83" spans="1:16" x14ac:dyDescent="0.3">
      <c r="A83" t="s">
        <v>65</v>
      </c>
      <c r="C83" s="1">
        <f>B9/C9</f>
        <v>3600000</v>
      </c>
      <c r="D83" s="1">
        <f>C83</f>
        <v>3600000</v>
      </c>
      <c r="E83" s="1">
        <f t="shared" si="31"/>
        <v>3600000</v>
      </c>
      <c r="F83" s="1">
        <f t="shared" si="31"/>
        <v>3600000</v>
      </c>
      <c r="G83" s="1">
        <f t="shared" si="31"/>
        <v>3600000</v>
      </c>
      <c r="H83" s="1"/>
      <c r="I83" s="1"/>
      <c r="J83" s="1"/>
      <c r="K83" s="1"/>
      <c r="L83" s="1"/>
      <c r="M83" s="1"/>
      <c r="N83" s="1"/>
    </row>
    <row r="84" spans="1:16" x14ac:dyDescent="0.3">
      <c r="A84" t="s">
        <v>66</v>
      </c>
      <c r="C84" s="1">
        <f>B10/C10</f>
        <v>4200000</v>
      </c>
      <c r="D84" s="1">
        <f>C84</f>
        <v>4200000</v>
      </c>
      <c r="E84" s="1">
        <f t="shared" si="31"/>
        <v>4200000</v>
      </c>
      <c r="F84" s="1">
        <f t="shared" si="31"/>
        <v>4200000</v>
      </c>
      <c r="G84" s="1">
        <f t="shared" si="31"/>
        <v>4200000</v>
      </c>
      <c r="H84" s="1"/>
      <c r="I84" s="1"/>
      <c r="J84" s="1"/>
      <c r="K84" s="1"/>
      <c r="L84" s="1"/>
      <c r="M84" s="1"/>
      <c r="N84" s="1"/>
    </row>
    <row r="85" spans="1:16" x14ac:dyDescent="0.3">
      <c r="C85" s="1"/>
      <c r="D85" s="1"/>
      <c r="E85" s="1"/>
      <c r="F85" s="1"/>
      <c r="G85" s="1"/>
      <c r="H85" s="1"/>
      <c r="I85" s="1"/>
      <c r="J85" s="1"/>
      <c r="K85" s="1"/>
      <c r="L85" s="1"/>
      <c r="M85" s="1"/>
      <c r="N85" s="1"/>
    </row>
    <row r="86" spans="1:16" x14ac:dyDescent="0.3">
      <c r="A86" s="3" t="s">
        <v>69</v>
      </c>
      <c r="C86" s="1">
        <f>SUM(C63:C84)</f>
        <v>145294125</v>
      </c>
      <c r="D86" s="1">
        <f t="shared" ref="D86:L86" si="32">SUM(D63:D84)</f>
        <v>156529299.69999999</v>
      </c>
      <c r="E86" s="1">
        <f t="shared" si="32"/>
        <v>165364756.14134377</v>
      </c>
      <c r="F86" s="1">
        <f t="shared" si="32"/>
        <v>173162268.35426301</v>
      </c>
      <c r="G86" s="1">
        <f t="shared" si="32"/>
        <v>181074968.61819592</v>
      </c>
      <c r="H86" s="1">
        <f t="shared" si="32"/>
        <v>181304200.90117711</v>
      </c>
      <c r="I86" s="1">
        <f t="shared" si="32"/>
        <v>189451323.30269441</v>
      </c>
      <c r="J86" s="1">
        <f t="shared" si="32"/>
        <v>197717708.19377831</v>
      </c>
      <c r="K86" s="1">
        <f t="shared" si="32"/>
        <v>206104742.35842818</v>
      </c>
      <c r="L86" s="1">
        <f t="shared" si="32"/>
        <v>214613827.13638803</v>
      </c>
      <c r="M86" s="1"/>
      <c r="N86" s="1"/>
    </row>
    <row r="88" spans="1:16" x14ac:dyDescent="0.3">
      <c r="A88" t="s">
        <v>70</v>
      </c>
      <c r="C88" s="1">
        <f>C59-C86</f>
        <v>98005875</v>
      </c>
      <c r="D88" s="1">
        <f t="shared" ref="D88:L88" si="33">D59-D86</f>
        <v>118068300.30000001</v>
      </c>
      <c r="E88" s="1">
        <f t="shared" si="33"/>
        <v>136352856.73365623</v>
      </c>
      <c r="F88" s="1">
        <f t="shared" si="33"/>
        <v>153808149.71373701</v>
      </c>
      <c r="G88" s="1">
        <f t="shared" si="33"/>
        <v>171532989.59866807</v>
      </c>
      <c r="H88" s="1">
        <f t="shared" si="33"/>
        <v>197330572.00017643</v>
      </c>
      <c r="I88" s="1">
        <f t="shared" si="33"/>
        <v>215604126.40877452</v>
      </c>
      <c r="J88" s="1">
        <f t="shared" si="33"/>
        <v>234156916.53130218</v>
      </c>
      <c r="K88" s="1">
        <f t="shared" si="33"/>
        <v>252992240.63170022</v>
      </c>
      <c r="L88" s="1">
        <f t="shared" si="33"/>
        <v>272113431.87504649</v>
      </c>
      <c r="M88" s="1"/>
      <c r="N88" s="1"/>
    </row>
    <row r="89" spans="1:16" x14ac:dyDescent="0.3">
      <c r="A89" t="s">
        <v>71</v>
      </c>
      <c r="C89" s="1">
        <f>C88*$B$6</f>
        <v>28421703.749999996</v>
      </c>
      <c r="D89" s="1">
        <f t="shared" ref="D89:L89" si="34">D88*$B$6</f>
        <v>34239807.086999997</v>
      </c>
      <c r="E89" s="1">
        <f t="shared" si="34"/>
        <v>39542328.452760302</v>
      </c>
      <c r="F89" s="1">
        <f t="shared" si="34"/>
        <v>44604363.416983731</v>
      </c>
      <c r="G89" s="1">
        <f t="shared" si="34"/>
        <v>49744566.983613737</v>
      </c>
      <c r="H89" s="1">
        <f t="shared" si="34"/>
        <v>57225865.880051158</v>
      </c>
      <c r="I89" s="1">
        <f t="shared" si="34"/>
        <v>62525196.658544607</v>
      </c>
      <c r="J89" s="1">
        <f t="shared" si="34"/>
        <v>67905505.794077635</v>
      </c>
      <c r="K89" s="1">
        <f t="shared" si="34"/>
        <v>73367749.783193052</v>
      </c>
      <c r="L89" s="1">
        <f t="shared" si="34"/>
        <v>78912895.243763477</v>
      </c>
      <c r="M89" s="1"/>
      <c r="N89" s="1"/>
    </row>
    <row r="90" spans="1:16" x14ac:dyDescent="0.3">
      <c r="A90" t="s">
        <v>72</v>
      </c>
      <c r="C90" s="1">
        <f>C88-C89</f>
        <v>69584171.25</v>
      </c>
      <c r="D90" s="1">
        <f t="shared" ref="D90:L90" si="35">D88-D89</f>
        <v>83828493.213000014</v>
      </c>
      <c r="E90" s="1">
        <f t="shared" si="35"/>
        <v>96810528.280895919</v>
      </c>
      <c r="F90" s="1">
        <f t="shared" si="35"/>
        <v>109203786.29675329</v>
      </c>
      <c r="G90" s="1">
        <f t="shared" si="35"/>
        <v>121788422.61505434</v>
      </c>
      <c r="H90" s="1">
        <f t="shared" si="35"/>
        <v>140104706.12012526</v>
      </c>
      <c r="I90" s="1">
        <f t="shared" si="35"/>
        <v>153078929.75022992</v>
      </c>
      <c r="J90" s="1">
        <f t="shared" si="35"/>
        <v>166251410.73722455</v>
      </c>
      <c r="K90" s="1">
        <f t="shared" si="35"/>
        <v>179624490.84850717</v>
      </c>
      <c r="L90" s="1">
        <f t="shared" si="35"/>
        <v>193200536.63128302</v>
      </c>
      <c r="M90" s="1"/>
      <c r="N90" s="1"/>
    </row>
    <row r="91" spans="1:16" x14ac:dyDescent="0.3">
      <c r="A91" s="8"/>
      <c r="B91" s="22"/>
      <c r="C91">
        <v>2025</v>
      </c>
      <c r="D91">
        <v>2026</v>
      </c>
      <c r="E91">
        <v>2027</v>
      </c>
      <c r="F91">
        <v>2028</v>
      </c>
      <c r="G91">
        <v>2029</v>
      </c>
      <c r="H91">
        <v>2030</v>
      </c>
      <c r="I91">
        <v>2031</v>
      </c>
      <c r="J91">
        <v>2032</v>
      </c>
      <c r="K91">
        <v>2033</v>
      </c>
      <c r="L91">
        <v>2034</v>
      </c>
      <c r="P91" s="12"/>
    </row>
    <row r="92" spans="1:16" x14ac:dyDescent="0.3">
      <c r="A92" t="s">
        <v>73</v>
      </c>
      <c r="B92" s="1">
        <f>-(B8+B9+B10)</f>
        <v>-239000000</v>
      </c>
    </row>
    <row r="93" spans="1:16" x14ac:dyDescent="0.3">
      <c r="A93" t="s">
        <v>74</v>
      </c>
      <c r="C93" s="1">
        <f>C82+C83+C84</f>
        <v>15800000</v>
      </c>
      <c r="D93" s="1">
        <f t="shared" ref="D93:L93" si="36">D82+D83+D84</f>
        <v>15800000</v>
      </c>
      <c r="E93" s="1">
        <f t="shared" si="36"/>
        <v>15800000</v>
      </c>
      <c r="F93" s="1">
        <f t="shared" si="36"/>
        <v>15800000</v>
      </c>
      <c r="G93" s="1">
        <f t="shared" si="36"/>
        <v>15800000</v>
      </c>
      <c r="H93" s="1">
        <f t="shared" si="36"/>
        <v>8000000</v>
      </c>
      <c r="I93" s="1">
        <f t="shared" si="36"/>
        <v>8000000</v>
      </c>
      <c r="J93" s="1">
        <f t="shared" si="36"/>
        <v>8000000</v>
      </c>
      <c r="K93" s="1">
        <f t="shared" si="36"/>
        <v>8000000</v>
      </c>
      <c r="L93" s="1">
        <f t="shared" si="36"/>
        <v>8000000</v>
      </c>
      <c r="M93" s="1"/>
      <c r="N93" s="1"/>
    </row>
    <row r="94" spans="1:16" x14ac:dyDescent="0.3">
      <c r="A94" t="s">
        <v>101</v>
      </c>
      <c r="D94" s="1"/>
      <c r="E94" s="1"/>
      <c r="F94" s="1">
        <f>IF(E95&lt;C19,B19*E95,0)</f>
        <v>0</v>
      </c>
      <c r="G94" s="1"/>
      <c r="H94" s="1"/>
      <c r="I94" s="1">
        <f>IF(F94&gt;0,0,IF(H95&lt;F19,H95*E19,0))</f>
        <v>0</v>
      </c>
      <c r="J94" s="1"/>
      <c r="K94" s="1"/>
      <c r="L94" s="1">
        <f>IF(F94&gt;0,0,IF(I94&gt;0,0,K95*H19))</f>
        <v>900597556.07283437</v>
      </c>
      <c r="M94" s="1"/>
      <c r="N94" s="1"/>
    </row>
    <row r="95" spans="1:16" x14ac:dyDescent="0.3">
      <c r="A95" t="s">
        <v>75</v>
      </c>
      <c r="B95" s="1">
        <f>B90+B92+B93+B94</f>
        <v>-239000000</v>
      </c>
      <c r="C95" s="1">
        <f t="shared" ref="C95:E95" si="37">C90+C92+C93+C94</f>
        <v>85384171.25</v>
      </c>
      <c r="D95" s="1">
        <f t="shared" si="37"/>
        <v>99628493.213000014</v>
      </c>
      <c r="E95" s="1">
        <f t="shared" si="37"/>
        <v>112610528.28089592</v>
      </c>
      <c r="F95" s="1">
        <f>IF($F$94=0,F90+F92+F93+F94,F94)</f>
        <v>125003786.29675329</v>
      </c>
      <c r="G95" s="1">
        <f>IF($F$94=0,G90+G92+G93+G94,0)</f>
        <v>137588422.61505434</v>
      </c>
      <c r="H95" s="1">
        <f>IF($F$94=0,H90+H92+H93+H94,0)</f>
        <v>148104706.12012526</v>
      </c>
      <c r="I95" s="1">
        <f>IF($F$94&gt;0,0,IF(I94&gt;0,I94,I90+I92+I93+I94))</f>
        <v>161078929.75022992</v>
      </c>
      <c r="J95" s="1">
        <f>IF($F$94&gt;0,0,IF(I94&gt;0,0,J90+J92+J93+J94))</f>
        <v>174251410.73722455</v>
      </c>
      <c r="K95" s="1">
        <f>IF(J95=0,0,K90+K92+K93+K94)</f>
        <v>187624490.84850717</v>
      </c>
      <c r="L95" s="1">
        <f>IF(J95=0,0,L90+L92+L93+L94)</f>
        <v>1101798092.7041173</v>
      </c>
      <c r="M95" s="1"/>
      <c r="N95" s="1"/>
    </row>
    <row r="96" spans="1:16" x14ac:dyDescent="0.3">
      <c r="A96" t="s">
        <v>76</v>
      </c>
      <c r="B96" s="4">
        <f>B95*B33</f>
        <v>-14111468.199999999</v>
      </c>
      <c r="C96" s="4">
        <f t="shared" ref="C96:L96" si="38">C95*C33</f>
        <v>3528984.1513155247</v>
      </c>
      <c r="D96" s="4">
        <f t="shared" si="38"/>
        <v>2882397.9655091674</v>
      </c>
      <c r="E96" s="4">
        <f t="shared" si="38"/>
        <v>2280591.0538310655</v>
      </c>
      <c r="F96" s="4">
        <f t="shared" si="38"/>
        <v>1772105.7236193123</v>
      </c>
      <c r="G96" s="4">
        <f t="shared" si="38"/>
        <v>1365357.5376408927</v>
      </c>
      <c r="H96" s="4">
        <f t="shared" si="38"/>
        <v>1028801.0510802503</v>
      </c>
      <c r="I96" s="4">
        <f t="shared" si="38"/>
        <v>783248.03851712157</v>
      </c>
      <c r="J96" s="4">
        <f t="shared" si="38"/>
        <v>593109.55887453258</v>
      </c>
      <c r="K96" s="4">
        <f t="shared" si="38"/>
        <v>447039.79710283596</v>
      </c>
      <c r="L96" s="4">
        <f t="shared" si="38"/>
        <v>1837624.2648722499</v>
      </c>
      <c r="M96" s="4"/>
      <c r="N96" s="4"/>
    </row>
    <row r="97" spans="1:14" x14ac:dyDescent="0.3">
      <c r="A97" t="s">
        <v>77</v>
      </c>
      <c r="B97" s="4">
        <f>B95*B34</f>
        <v>-14111468.199999999</v>
      </c>
      <c r="C97" s="4">
        <f t="shared" ref="C97:L97" si="39">C95*C34</f>
        <v>4748620.1050888188</v>
      </c>
      <c r="D97" s="4">
        <f t="shared" si="39"/>
        <v>5225691.1713170884</v>
      </c>
      <c r="E97" s="4">
        <f t="shared" si="39"/>
        <v>5541544.7496579522</v>
      </c>
      <c r="F97" s="4">
        <f t="shared" si="39"/>
        <v>5771207.4721412146</v>
      </c>
      <c r="G97" s="4">
        <f t="shared" si="39"/>
        <v>5959599.5946477093</v>
      </c>
      <c r="H97" s="4">
        <f t="shared" si="39"/>
        <v>6018603.3105176613</v>
      </c>
      <c r="I97" s="4">
        <f t="shared" si="39"/>
        <v>6141256.9277801448</v>
      </c>
      <c r="J97" s="4">
        <f t="shared" si="39"/>
        <v>6232847.5595623897</v>
      </c>
      <c r="K97" s="4">
        <f t="shared" si="39"/>
        <v>6296386.8009250648</v>
      </c>
      <c r="L97" s="4">
        <f t="shared" si="39"/>
        <v>34689301.903886288</v>
      </c>
      <c r="M97" s="4"/>
      <c r="N97" s="4"/>
    </row>
    <row r="98" spans="1:14" x14ac:dyDescent="0.3">
      <c r="A98" t="s">
        <v>78</v>
      </c>
      <c r="B98" s="4">
        <f>B95*B35</f>
        <v>-14111468.199999999</v>
      </c>
      <c r="C98" s="4">
        <f t="shared" ref="C98:L98" si="40">C95*C35</f>
        <v>4924729.2261780221</v>
      </c>
      <c r="D98" s="4">
        <f t="shared" si="40"/>
        <v>5660073.4941847473</v>
      </c>
      <c r="E98" s="4">
        <f t="shared" si="40"/>
        <v>6308750.5624181293</v>
      </c>
      <c r="F98" s="4">
        <f t="shared" si="40"/>
        <v>6905790.2068841327</v>
      </c>
      <c r="G98" s="4">
        <f t="shared" si="40"/>
        <v>7495454.2359735956</v>
      </c>
      <c r="H98" s="4">
        <f t="shared" si="40"/>
        <v>7956293.1471746136</v>
      </c>
      <c r="I98" s="4">
        <f t="shared" si="40"/>
        <v>8533093.5151548721</v>
      </c>
      <c r="J98" s="4">
        <f t="shared" si="40"/>
        <v>9102693.6085907724</v>
      </c>
      <c r="K98" s="4">
        <f t="shared" si="40"/>
        <v>9665158.9582354855</v>
      </c>
      <c r="L98" s="4">
        <f t="shared" si="40"/>
        <v>55968973.638160519</v>
      </c>
      <c r="M98" s="4"/>
      <c r="N98" s="4"/>
    </row>
    <row r="100" spans="1:14" x14ac:dyDescent="0.3">
      <c r="A100" t="s">
        <v>79</v>
      </c>
      <c r="B100" s="31">
        <f>(NPV(B5,C95:N95)+B95)*B7</f>
        <v>17260857.772258077</v>
      </c>
    </row>
    <row r="101" spans="1:14" x14ac:dyDescent="0.3">
      <c r="A101" t="s">
        <v>80</v>
      </c>
      <c r="B101" s="31">
        <f>NPV(B4,C96:N96)+B96</f>
        <v>-5361388.5476860944</v>
      </c>
    </row>
    <row r="102" spans="1:14" x14ac:dyDescent="0.3">
      <c r="A102" t="s">
        <v>81</v>
      </c>
      <c r="B102" s="31">
        <f>NPV(B4,C97:N97)+B97</f>
        <v>13861681.100852862</v>
      </c>
    </row>
    <row r="103" spans="1:14" x14ac:dyDescent="0.3">
      <c r="A103" t="s">
        <v>82</v>
      </c>
      <c r="B103" s="31">
        <f>NPV(B4,C98:N98)+B98</f>
        <v>21992016.467399057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119B7-6855-42D7-80DA-8DA16AD796C2}">
  <dimension ref="A1:P103"/>
  <sheetViews>
    <sheetView topLeftCell="A55" workbookViewId="0">
      <selection activeCell="A100" sqref="A100:B103"/>
    </sheetView>
  </sheetViews>
  <sheetFormatPr defaultRowHeight="14.4" x14ac:dyDescent="0.3"/>
  <cols>
    <col min="1" max="1" width="32.6640625" customWidth="1"/>
    <col min="2" max="2" width="19.44140625" customWidth="1"/>
    <col min="3" max="14" width="18.5546875" customWidth="1"/>
    <col min="15" max="15" width="16.6640625" customWidth="1"/>
  </cols>
  <sheetData>
    <row r="1" spans="1:16" x14ac:dyDescent="0.3">
      <c r="A1" t="s">
        <v>0</v>
      </c>
    </row>
    <row r="2" spans="1:16" ht="15" thickBot="1" x14ac:dyDescent="0.35"/>
    <row r="3" spans="1:16" x14ac:dyDescent="0.3">
      <c r="A3" s="5" t="s">
        <v>1</v>
      </c>
      <c r="B3" s="6"/>
      <c r="C3" s="6"/>
      <c r="D3" s="6"/>
      <c r="E3" s="6"/>
      <c r="F3" s="6"/>
      <c r="G3" s="6"/>
      <c r="H3" s="6"/>
      <c r="I3" s="6"/>
      <c r="J3" s="6"/>
      <c r="K3" s="6"/>
      <c r="L3" s="6"/>
      <c r="M3" s="6"/>
      <c r="N3" s="6"/>
      <c r="O3" s="6"/>
      <c r="P3" s="7"/>
    </row>
    <row r="4" spans="1:16" x14ac:dyDescent="0.3">
      <c r="A4" s="8" t="s">
        <v>2</v>
      </c>
      <c r="B4" s="9">
        <v>0.2</v>
      </c>
      <c r="F4" s="3" t="s">
        <v>14</v>
      </c>
      <c r="G4" s="3" t="s">
        <v>15</v>
      </c>
      <c r="H4" s="3"/>
      <c r="I4" s="3"/>
      <c r="J4" s="3" t="s">
        <v>14</v>
      </c>
      <c r="K4" s="3"/>
      <c r="L4" s="3"/>
      <c r="M4" s="3"/>
      <c r="N4" s="3" t="s">
        <v>23</v>
      </c>
      <c r="O4" s="3" t="s">
        <v>14</v>
      </c>
      <c r="P4" s="10" t="s">
        <v>15</v>
      </c>
    </row>
    <row r="5" spans="1:16" x14ac:dyDescent="0.3">
      <c r="A5" s="8" t="s">
        <v>3</v>
      </c>
      <c r="B5" s="9">
        <v>0.25</v>
      </c>
      <c r="E5" t="s">
        <v>16</v>
      </c>
      <c r="F5" s="1">
        <v>2500000</v>
      </c>
      <c r="G5" s="11">
        <v>3.5E-4</v>
      </c>
      <c r="I5" t="s">
        <v>20</v>
      </c>
      <c r="J5" s="1">
        <v>750000</v>
      </c>
      <c r="L5" t="s">
        <v>22</v>
      </c>
      <c r="N5">
        <v>10</v>
      </c>
      <c r="O5" s="1">
        <v>900000</v>
      </c>
      <c r="P5" s="23">
        <v>1.4999999999999999E-4</v>
      </c>
    </row>
    <row r="6" spans="1:16" x14ac:dyDescent="0.3">
      <c r="A6" s="8" t="s">
        <v>4</v>
      </c>
      <c r="B6" s="9">
        <v>0.28999999999999998</v>
      </c>
      <c r="E6" t="s">
        <v>17</v>
      </c>
      <c r="F6" s="1">
        <v>1900000</v>
      </c>
      <c r="G6" s="11">
        <v>2.5000000000000001E-4</v>
      </c>
      <c r="I6" t="s">
        <v>20</v>
      </c>
      <c r="J6" s="1">
        <v>750000</v>
      </c>
      <c r="L6" t="s">
        <v>21</v>
      </c>
      <c r="N6">
        <v>8</v>
      </c>
      <c r="O6" s="1">
        <v>1000000</v>
      </c>
      <c r="P6" s="12"/>
    </row>
    <row r="7" spans="1:16" x14ac:dyDescent="0.3">
      <c r="A7" s="8" t="s">
        <v>5</v>
      </c>
      <c r="B7" s="21">
        <v>5.90438E-2</v>
      </c>
      <c r="C7" t="s">
        <v>68</v>
      </c>
      <c r="E7" t="s">
        <v>18</v>
      </c>
      <c r="F7" s="1">
        <v>1900000</v>
      </c>
      <c r="G7" s="11">
        <v>2.5000000000000001E-4</v>
      </c>
      <c r="I7" t="s">
        <v>20</v>
      </c>
      <c r="J7" s="1">
        <v>750000</v>
      </c>
      <c r="L7" t="s">
        <v>24</v>
      </c>
      <c r="N7">
        <v>40</v>
      </c>
      <c r="O7" s="1">
        <v>600000</v>
      </c>
      <c r="P7" s="12"/>
    </row>
    <row r="8" spans="1:16" x14ac:dyDescent="0.3">
      <c r="A8" s="8" t="s">
        <v>11</v>
      </c>
      <c r="B8" s="26">
        <v>245000000</v>
      </c>
      <c r="C8">
        <v>20</v>
      </c>
      <c r="E8" t="s">
        <v>19</v>
      </c>
      <c r="F8" s="1">
        <v>1900000</v>
      </c>
      <c r="G8" s="11">
        <v>2.5000000000000001E-4</v>
      </c>
      <c r="I8" t="s">
        <v>20</v>
      </c>
      <c r="J8" s="1">
        <v>750000</v>
      </c>
      <c r="L8" t="s">
        <v>25</v>
      </c>
      <c r="N8">
        <v>20</v>
      </c>
      <c r="O8" s="1">
        <v>400000</v>
      </c>
      <c r="P8" s="12"/>
    </row>
    <row r="9" spans="1:16" x14ac:dyDescent="0.3">
      <c r="A9" s="8" t="s">
        <v>12</v>
      </c>
      <c r="B9" s="26">
        <v>25000000</v>
      </c>
      <c r="C9">
        <v>5</v>
      </c>
      <c r="P9" s="12"/>
    </row>
    <row r="10" spans="1:16" x14ac:dyDescent="0.3">
      <c r="A10" s="8" t="s">
        <v>13</v>
      </c>
      <c r="B10" s="26">
        <v>29000000</v>
      </c>
      <c r="C10">
        <v>5</v>
      </c>
      <c r="P10" s="12"/>
    </row>
    <row r="11" spans="1:16" x14ac:dyDescent="0.3">
      <c r="A11" s="8" t="s">
        <v>67</v>
      </c>
      <c r="B11" s="13">
        <v>0.8</v>
      </c>
      <c r="P11" s="12"/>
    </row>
    <row r="12" spans="1:16" x14ac:dyDescent="0.3">
      <c r="A12" s="8"/>
      <c r="B12" s="14" t="s">
        <v>31</v>
      </c>
      <c r="C12" s="15" t="s">
        <v>103</v>
      </c>
      <c r="D12" s="15" t="s">
        <v>37</v>
      </c>
      <c r="P12" s="12"/>
    </row>
    <row r="13" spans="1:16" x14ac:dyDescent="0.3">
      <c r="A13" s="8" t="s">
        <v>26</v>
      </c>
      <c r="B13" s="1">
        <v>150000</v>
      </c>
      <c r="C13" s="25">
        <v>100</v>
      </c>
      <c r="D13" s="27">
        <v>0.56000000000000005</v>
      </c>
      <c r="P13" s="12"/>
    </row>
    <row r="14" spans="1:16" x14ac:dyDescent="0.3">
      <c r="A14" s="8" t="s">
        <v>27</v>
      </c>
      <c r="B14" s="1">
        <v>200000</v>
      </c>
      <c r="C14" s="25">
        <v>100</v>
      </c>
      <c r="D14" s="27">
        <v>0.47</v>
      </c>
      <c r="P14" s="12"/>
    </row>
    <row r="15" spans="1:16" x14ac:dyDescent="0.3">
      <c r="A15" s="8" t="s">
        <v>28</v>
      </c>
      <c r="B15" s="1">
        <v>270000</v>
      </c>
      <c r="C15" s="25">
        <v>120</v>
      </c>
      <c r="D15" s="27">
        <v>0.56999999999999995</v>
      </c>
      <c r="P15" s="12"/>
    </row>
    <row r="16" spans="1:16" x14ac:dyDescent="0.3">
      <c r="A16" s="8" t="s">
        <v>29</v>
      </c>
      <c r="B16" s="1">
        <v>350000</v>
      </c>
      <c r="C16" s="25">
        <v>130</v>
      </c>
      <c r="D16" s="27">
        <v>0.54</v>
      </c>
      <c r="P16" s="12"/>
    </row>
    <row r="17" spans="1:16" x14ac:dyDescent="0.3">
      <c r="A17" s="8" t="s">
        <v>30</v>
      </c>
      <c r="B17" s="1">
        <v>430000</v>
      </c>
      <c r="C17" s="25">
        <v>180</v>
      </c>
      <c r="D17" s="27">
        <v>0.45</v>
      </c>
      <c r="P17" s="12"/>
    </row>
    <row r="18" spans="1:16" x14ac:dyDescent="0.3">
      <c r="A18" s="8"/>
      <c r="B18" s="1"/>
      <c r="P18" s="12"/>
    </row>
    <row r="19" spans="1:16" x14ac:dyDescent="0.3">
      <c r="A19" s="8" t="s">
        <v>104</v>
      </c>
      <c r="B19" s="22">
        <v>3.8</v>
      </c>
      <c r="C19" s="1">
        <v>60000000</v>
      </c>
      <c r="D19" t="s">
        <v>105</v>
      </c>
      <c r="E19" s="22">
        <v>4.2</v>
      </c>
      <c r="F19" s="1">
        <v>80000000</v>
      </c>
      <c r="G19" t="s">
        <v>106</v>
      </c>
      <c r="H19">
        <v>4.8</v>
      </c>
      <c r="P19" s="12"/>
    </row>
    <row r="20" spans="1:16" x14ac:dyDescent="0.3">
      <c r="A20" s="8"/>
      <c r="B20" s="22"/>
      <c r="C20">
        <v>2025</v>
      </c>
      <c r="D20">
        <v>2026</v>
      </c>
      <c r="E20">
        <v>2027</v>
      </c>
      <c r="F20">
        <v>2028</v>
      </c>
      <c r="G20">
        <v>2029</v>
      </c>
      <c r="H20">
        <v>2030</v>
      </c>
      <c r="I20">
        <v>2031</v>
      </c>
      <c r="J20">
        <v>2032</v>
      </c>
      <c r="K20">
        <v>2033</v>
      </c>
      <c r="L20">
        <v>2034</v>
      </c>
      <c r="P20" s="12"/>
    </row>
    <row r="21" spans="1:16" x14ac:dyDescent="0.3">
      <c r="A21" s="8" t="s">
        <v>6</v>
      </c>
      <c r="C21" s="25">
        <v>0.3</v>
      </c>
      <c r="D21" s="25">
        <v>0.3</v>
      </c>
      <c r="E21" s="25">
        <v>0.3</v>
      </c>
      <c r="F21" s="25">
        <v>0.3</v>
      </c>
      <c r="G21" s="25">
        <v>0.3</v>
      </c>
      <c r="H21" s="25">
        <v>0.3</v>
      </c>
      <c r="I21" s="25">
        <v>0.3</v>
      </c>
      <c r="J21" s="25">
        <v>0.3</v>
      </c>
      <c r="K21" s="25">
        <v>0.3</v>
      </c>
      <c r="L21" s="25">
        <v>0.3</v>
      </c>
      <c r="P21" s="12"/>
    </row>
    <row r="22" spans="1:16" x14ac:dyDescent="0.3">
      <c r="A22" s="8" t="s">
        <v>7</v>
      </c>
      <c r="C22" s="28">
        <v>7.6999999999999999E-2</v>
      </c>
      <c r="D22" s="28">
        <v>8.1000000000000003E-2</v>
      </c>
      <c r="E22" s="28">
        <v>0.08</v>
      </c>
      <c r="F22" s="28">
        <v>0.08</v>
      </c>
      <c r="G22" s="28">
        <v>0.08</v>
      </c>
      <c r="H22" s="28">
        <v>0.08</v>
      </c>
      <c r="I22" s="28">
        <v>0.08</v>
      </c>
      <c r="J22" s="28">
        <v>0.08</v>
      </c>
      <c r="K22" s="28">
        <v>0.08</v>
      </c>
      <c r="L22" s="28">
        <v>0.08</v>
      </c>
      <c r="M22" s="11"/>
      <c r="N22" s="11"/>
      <c r="P22" s="12"/>
    </row>
    <row r="23" spans="1:16" x14ac:dyDescent="0.3">
      <c r="A23" s="8" t="s">
        <v>8</v>
      </c>
      <c r="C23" s="28">
        <v>0.123</v>
      </c>
      <c r="D23" s="28">
        <v>0.14424999999999999</v>
      </c>
      <c r="E23" s="28">
        <v>0.153</v>
      </c>
      <c r="F23" s="28">
        <v>0.153</v>
      </c>
      <c r="G23" s="28">
        <v>0.153</v>
      </c>
      <c r="H23" s="28">
        <v>0.153</v>
      </c>
      <c r="I23" s="28">
        <v>0.153</v>
      </c>
      <c r="J23" s="28">
        <v>0.153</v>
      </c>
      <c r="K23" s="28">
        <v>0.153</v>
      </c>
      <c r="L23" s="28">
        <v>0.153</v>
      </c>
      <c r="M23" s="11"/>
      <c r="N23" s="11"/>
      <c r="P23" s="12"/>
    </row>
    <row r="24" spans="1:16" x14ac:dyDescent="0.3">
      <c r="A24" s="8" t="s">
        <v>9</v>
      </c>
      <c r="C24" s="28">
        <v>5.1499999999999997E-2</v>
      </c>
      <c r="D24" s="28">
        <v>5.8000000000000003E-2</v>
      </c>
      <c r="E24" s="28">
        <v>5.7000000000000002E-2</v>
      </c>
      <c r="F24" s="28">
        <v>5.7000000000000002E-2</v>
      </c>
      <c r="G24" s="28">
        <v>5.7000000000000002E-2</v>
      </c>
      <c r="H24" s="28">
        <v>5.7000000000000002E-2</v>
      </c>
      <c r="I24" s="28">
        <v>5.7000000000000002E-2</v>
      </c>
      <c r="J24" s="28">
        <v>5.7000000000000002E-2</v>
      </c>
      <c r="K24" s="28">
        <v>5.7000000000000002E-2</v>
      </c>
      <c r="L24" s="28">
        <v>5.7000000000000002E-2</v>
      </c>
      <c r="M24" s="11"/>
      <c r="N24" s="11"/>
      <c r="P24" s="12"/>
    </row>
    <row r="25" spans="1:16" x14ac:dyDescent="0.3">
      <c r="A25" s="8" t="s">
        <v>10</v>
      </c>
      <c r="C25" s="28">
        <v>5.8000000000000003E-2</v>
      </c>
      <c r="D25" s="28">
        <v>7.4749999999999997E-2</v>
      </c>
      <c r="E25" s="28">
        <v>7.6999999999999999E-2</v>
      </c>
      <c r="F25" s="28">
        <v>7.6999999999999999E-2</v>
      </c>
      <c r="G25" s="28">
        <v>7.6999999999999999E-2</v>
      </c>
      <c r="H25" s="28">
        <v>7.6999999999999999E-2</v>
      </c>
      <c r="I25" s="28">
        <v>7.6999999999999999E-2</v>
      </c>
      <c r="J25" s="28">
        <v>7.6999999999999999E-2</v>
      </c>
      <c r="K25" s="28">
        <v>7.6999999999999999E-2</v>
      </c>
      <c r="L25" s="28">
        <v>7.6999999999999999E-2</v>
      </c>
      <c r="M25" s="11"/>
      <c r="N25" s="11"/>
      <c r="P25" s="12"/>
    </row>
    <row r="26" spans="1:16" x14ac:dyDescent="0.3">
      <c r="A26" s="8" t="s">
        <v>32</v>
      </c>
      <c r="D26" s="29">
        <v>-6</v>
      </c>
      <c r="E26" s="29">
        <v>-6</v>
      </c>
      <c r="F26" s="29">
        <v>-6</v>
      </c>
      <c r="G26" s="29">
        <v>-6</v>
      </c>
      <c r="H26" s="29">
        <v>-6</v>
      </c>
      <c r="I26" s="29">
        <v>-6</v>
      </c>
      <c r="J26" s="29">
        <v>-6</v>
      </c>
      <c r="K26" s="29">
        <v>-6</v>
      </c>
      <c r="L26" s="29">
        <v>-6</v>
      </c>
      <c r="M26" s="2"/>
      <c r="N26" s="2"/>
      <c r="P26" s="12"/>
    </row>
    <row r="27" spans="1:16" x14ac:dyDescent="0.3">
      <c r="A27" s="8" t="s">
        <v>33</v>
      </c>
      <c r="D27" s="29">
        <v>-8</v>
      </c>
      <c r="E27" s="29">
        <v>-8</v>
      </c>
      <c r="F27" s="29">
        <v>-8</v>
      </c>
      <c r="G27" s="29">
        <v>-8</v>
      </c>
      <c r="H27" s="29">
        <v>-8</v>
      </c>
      <c r="I27" s="29">
        <v>-8</v>
      </c>
      <c r="J27" s="29">
        <v>-8</v>
      </c>
      <c r="K27" s="29">
        <v>-8</v>
      </c>
      <c r="L27" s="29">
        <v>-8</v>
      </c>
      <c r="M27" s="2"/>
      <c r="N27" s="2"/>
      <c r="P27" s="12"/>
    </row>
    <row r="28" spans="1:16" x14ac:dyDescent="0.3">
      <c r="A28" s="8" t="s">
        <v>34</v>
      </c>
      <c r="D28" s="29">
        <v>-7</v>
      </c>
      <c r="E28" s="29">
        <v>-7</v>
      </c>
      <c r="F28" s="29">
        <v>-7</v>
      </c>
      <c r="G28" s="29">
        <v>-7</v>
      </c>
      <c r="H28" s="29">
        <v>-7</v>
      </c>
      <c r="I28" s="29">
        <v>-7</v>
      </c>
      <c r="J28" s="29">
        <v>-7</v>
      </c>
      <c r="K28" s="29">
        <v>-7</v>
      </c>
      <c r="L28" s="29">
        <v>-7</v>
      </c>
      <c r="M28" s="2"/>
      <c r="N28" s="2"/>
      <c r="P28" s="12"/>
    </row>
    <row r="29" spans="1:16" x14ac:dyDescent="0.3">
      <c r="A29" s="8" t="s">
        <v>35</v>
      </c>
      <c r="D29" s="29">
        <v>-9</v>
      </c>
      <c r="E29" s="29">
        <v>-9</v>
      </c>
      <c r="F29" s="29">
        <v>-9</v>
      </c>
      <c r="G29" s="29">
        <v>-9</v>
      </c>
      <c r="H29" s="29">
        <v>-9</v>
      </c>
      <c r="I29" s="29">
        <v>-9</v>
      </c>
      <c r="J29" s="29">
        <v>-9</v>
      </c>
      <c r="K29" s="29">
        <v>-9</v>
      </c>
      <c r="L29" s="29">
        <v>-9</v>
      </c>
      <c r="M29" s="2"/>
      <c r="N29" s="2"/>
      <c r="P29" s="12"/>
    </row>
    <row r="30" spans="1:16" ht="15" thickBot="1" x14ac:dyDescent="0.35">
      <c r="A30" s="16" t="s">
        <v>36</v>
      </c>
      <c r="B30" s="17"/>
      <c r="C30" s="17"/>
      <c r="D30" s="30">
        <v>-10</v>
      </c>
      <c r="E30" s="30">
        <v>-10</v>
      </c>
      <c r="F30" s="30">
        <v>-10</v>
      </c>
      <c r="G30" s="30">
        <v>-10</v>
      </c>
      <c r="H30" s="30">
        <v>-10</v>
      </c>
      <c r="I30" s="30">
        <v>-10</v>
      </c>
      <c r="J30" s="30">
        <v>-10</v>
      </c>
      <c r="K30" s="30">
        <v>-10</v>
      </c>
      <c r="L30" s="30">
        <v>-10</v>
      </c>
      <c r="M30" s="24"/>
      <c r="N30" s="24"/>
      <c r="O30" s="17"/>
      <c r="P30" s="18"/>
    </row>
    <row r="32" spans="1:16" x14ac:dyDescent="0.3">
      <c r="A32" s="3" t="s">
        <v>83</v>
      </c>
    </row>
    <row r="33" spans="1:14" x14ac:dyDescent="0.3">
      <c r="A33" t="s">
        <v>38</v>
      </c>
      <c r="B33" s="20">
        <f>B7</f>
        <v>5.90438E-2</v>
      </c>
      <c r="C33" s="20">
        <f>B33*(1+C21)</f>
        <v>7.675694000000001E-2</v>
      </c>
      <c r="D33" s="20">
        <f t="shared" ref="D33:L33" si="0">C33*(1+D21)</f>
        <v>9.9784022000000014E-2</v>
      </c>
      <c r="E33" s="20">
        <f t="shared" si="0"/>
        <v>0.12971922860000001</v>
      </c>
      <c r="F33" s="20">
        <f t="shared" si="0"/>
        <v>0.16863499718000002</v>
      </c>
      <c r="G33" s="20">
        <f t="shared" si="0"/>
        <v>0.21922549633400004</v>
      </c>
      <c r="H33" s="20">
        <f t="shared" si="0"/>
        <v>0.28499314523420005</v>
      </c>
      <c r="I33" s="20">
        <f t="shared" si="0"/>
        <v>0.37049108880446008</v>
      </c>
      <c r="J33" s="20">
        <f t="shared" si="0"/>
        <v>0.48163841544579811</v>
      </c>
      <c r="K33" s="20">
        <f t="shared" si="0"/>
        <v>0.62612994007953759</v>
      </c>
      <c r="L33" s="20">
        <f t="shared" si="0"/>
        <v>0.81396892210339888</v>
      </c>
      <c r="M33" s="20"/>
      <c r="N33" s="20"/>
    </row>
    <row r="34" spans="1:14" x14ac:dyDescent="0.3">
      <c r="A34" t="s">
        <v>39</v>
      </c>
      <c r="B34" s="20">
        <f>B7</f>
        <v>5.90438E-2</v>
      </c>
      <c r="C34" s="20">
        <f>B34*(1+C22)/(1+C23)</f>
        <v>5.6625265004452356E-2</v>
      </c>
      <c r="D34" s="20">
        <f t="shared" ref="D34:L34" si="1">C34*(1+D22)/(1+D23)</f>
        <v>5.3495225230336896E-2</v>
      </c>
      <c r="E34" s="20">
        <f t="shared" si="1"/>
        <v>5.0108276885311227E-2</v>
      </c>
      <c r="F34" s="20">
        <f t="shared" si="1"/>
        <v>4.6935766726917717E-2</v>
      </c>
      <c r="G34" s="20">
        <f t="shared" si="1"/>
        <v>4.3964118009602024E-2</v>
      </c>
      <c r="H34" s="20">
        <f t="shared" si="1"/>
        <v>4.1180613573608145E-2</v>
      </c>
      <c r="I34" s="20">
        <f t="shared" si="1"/>
        <v>3.857334142193998E-2</v>
      </c>
      <c r="J34" s="20">
        <f t="shared" si="1"/>
        <v>3.6131143743014037E-2</v>
      </c>
      <c r="K34" s="20">
        <f t="shared" si="1"/>
        <v>3.3843569160845757E-2</v>
      </c>
      <c r="L34" s="20">
        <f t="shared" si="1"/>
        <v>3.1700828008424477E-2</v>
      </c>
      <c r="M34" s="20"/>
      <c r="N34" s="20"/>
    </row>
    <row r="35" spans="1:14" x14ac:dyDescent="0.3">
      <c r="A35" t="s">
        <v>40</v>
      </c>
      <c r="B35" s="20">
        <f>B7</f>
        <v>5.90438E-2</v>
      </c>
      <c r="C35" s="20">
        <f>B35*(1+C24)/(1+C25)</f>
        <v>5.868105453686201E-2</v>
      </c>
      <c r="D35" s="20">
        <f t="shared" ref="D35:L35" si="2">C35*(1+D24)/(1+D25)</f>
        <v>5.7766509141660857E-2</v>
      </c>
      <c r="E35" s="20">
        <f t="shared" si="2"/>
        <v>5.6693779166885352E-2</v>
      </c>
      <c r="F35" s="20">
        <f t="shared" si="2"/>
        <v>5.5640969897305312E-2</v>
      </c>
      <c r="G35" s="20">
        <f t="shared" si="2"/>
        <v>5.460771140339063E-2</v>
      </c>
      <c r="H35" s="20">
        <f t="shared" si="2"/>
        <v>5.3593640625240385E-2</v>
      </c>
      <c r="I35" s="20">
        <f t="shared" si="2"/>
        <v>5.2598401245013075E-2</v>
      </c>
      <c r="J35" s="20">
        <f t="shared" si="2"/>
        <v>5.1621643561725924E-2</v>
      </c>
      <c r="K35" s="20">
        <f t="shared" si="2"/>
        <v>5.0663024368379106E-2</v>
      </c>
      <c r="L35" s="20">
        <f t="shared" si="2"/>
        <v>4.9722206831361852E-2</v>
      </c>
      <c r="M35" s="20"/>
      <c r="N35" s="20"/>
    </row>
    <row r="37" spans="1:14" x14ac:dyDescent="0.3">
      <c r="A37" s="3" t="s">
        <v>42</v>
      </c>
    </row>
    <row r="38" spans="1:14" x14ac:dyDescent="0.3">
      <c r="A38" t="s">
        <v>26</v>
      </c>
      <c r="C38">
        <f>C13</f>
        <v>100</v>
      </c>
      <c r="D38" s="2">
        <f>C38+D26</f>
        <v>94</v>
      </c>
      <c r="E38" s="2">
        <f t="shared" ref="E38:L38" si="3">D38+E26</f>
        <v>88</v>
      </c>
      <c r="F38" s="2">
        <f t="shared" si="3"/>
        <v>82</v>
      </c>
      <c r="G38" s="2">
        <f t="shared" si="3"/>
        <v>76</v>
      </c>
      <c r="H38" s="2">
        <f t="shared" si="3"/>
        <v>70</v>
      </c>
      <c r="I38" s="2">
        <f t="shared" si="3"/>
        <v>64</v>
      </c>
      <c r="J38" s="2">
        <f t="shared" si="3"/>
        <v>58</v>
      </c>
      <c r="K38" s="2">
        <f t="shared" si="3"/>
        <v>52</v>
      </c>
      <c r="L38" s="2">
        <f t="shared" si="3"/>
        <v>46</v>
      </c>
      <c r="M38" s="2"/>
      <c r="N38" s="2"/>
    </row>
    <row r="39" spans="1:14" x14ac:dyDescent="0.3">
      <c r="A39" t="s">
        <v>27</v>
      </c>
      <c r="C39">
        <f>C14</f>
        <v>100</v>
      </c>
      <c r="D39" s="2">
        <f t="shared" ref="D39:L42" si="4">C39+D27</f>
        <v>92</v>
      </c>
      <c r="E39" s="2">
        <f t="shared" si="4"/>
        <v>84</v>
      </c>
      <c r="F39" s="2">
        <f t="shared" si="4"/>
        <v>76</v>
      </c>
      <c r="G39" s="2">
        <f t="shared" si="4"/>
        <v>68</v>
      </c>
      <c r="H39" s="2">
        <f t="shared" si="4"/>
        <v>60</v>
      </c>
      <c r="I39" s="2">
        <f t="shared" si="4"/>
        <v>52</v>
      </c>
      <c r="J39" s="2">
        <f t="shared" si="4"/>
        <v>44</v>
      </c>
      <c r="K39" s="2">
        <f t="shared" si="4"/>
        <v>36</v>
      </c>
      <c r="L39" s="2">
        <f t="shared" si="4"/>
        <v>28</v>
      </c>
      <c r="M39" s="2"/>
      <c r="N39" s="2"/>
    </row>
    <row r="40" spans="1:14" x14ac:dyDescent="0.3">
      <c r="A40" t="s">
        <v>28</v>
      </c>
      <c r="C40">
        <f>C15</f>
        <v>120</v>
      </c>
      <c r="D40" s="2">
        <f t="shared" si="4"/>
        <v>113</v>
      </c>
      <c r="E40" s="2">
        <f t="shared" si="4"/>
        <v>106</v>
      </c>
      <c r="F40" s="2">
        <f t="shared" si="4"/>
        <v>99</v>
      </c>
      <c r="G40" s="2">
        <f t="shared" si="4"/>
        <v>92</v>
      </c>
      <c r="H40" s="2">
        <f t="shared" si="4"/>
        <v>85</v>
      </c>
      <c r="I40" s="2">
        <f t="shared" si="4"/>
        <v>78</v>
      </c>
      <c r="J40" s="2">
        <f t="shared" si="4"/>
        <v>71</v>
      </c>
      <c r="K40" s="2">
        <f t="shared" si="4"/>
        <v>64</v>
      </c>
      <c r="L40" s="2">
        <f t="shared" si="4"/>
        <v>57</v>
      </c>
      <c r="M40" s="2"/>
      <c r="N40" s="2"/>
    </row>
    <row r="41" spans="1:14" x14ac:dyDescent="0.3">
      <c r="A41" t="s">
        <v>29</v>
      </c>
      <c r="C41">
        <f>C16</f>
        <v>130</v>
      </c>
      <c r="D41" s="2">
        <f t="shared" si="4"/>
        <v>121</v>
      </c>
      <c r="E41" s="2">
        <f t="shared" si="4"/>
        <v>112</v>
      </c>
      <c r="F41" s="2">
        <f t="shared" si="4"/>
        <v>103</v>
      </c>
      <c r="G41" s="2">
        <f t="shared" si="4"/>
        <v>94</v>
      </c>
      <c r="H41" s="2">
        <f t="shared" si="4"/>
        <v>85</v>
      </c>
      <c r="I41" s="2">
        <f t="shared" si="4"/>
        <v>76</v>
      </c>
      <c r="J41" s="2">
        <f t="shared" si="4"/>
        <v>67</v>
      </c>
      <c r="K41" s="2">
        <f t="shared" si="4"/>
        <v>58</v>
      </c>
      <c r="L41" s="2">
        <f t="shared" si="4"/>
        <v>49</v>
      </c>
      <c r="M41" s="2"/>
      <c r="N41" s="2"/>
    </row>
    <row r="42" spans="1:14" x14ac:dyDescent="0.3">
      <c r="A42" t="s">
        <v>30</v>
      </c>
      <c r="C42">
        <f>C17</f>
        <v>180</v>
      </c>
      <c r="D42" s="2">
        <f t="shared" si="4"/>
        <v>170</v>
      </c>
      <c r="E42" s="2">
        <f t="shared" si="4"/>
        <v>160</v>
      </c>
      <c r="F42" s="2">
        <f t="shared" si="4"/>
        <v>150</v>
      </c>
      <c r="G42" s="2">
        <f t="shared" si="4"/>
        <v>140</v>
      </c>
      <c r="H42" s="2">
        <f t="shared" si="4"/>
        <v>130</v>
      </c>
      <c r="I42" s="2">
        <f t="shared" si="4"/>
        <v>120</v>
      </c>
      <c r="J42" s="2">
        <f t="shared" si="4"/>
        <v>110</v>
      </c>
      <c r="K42" s="2">
        <f t="shared" si="4"/>
        <v>100</v>
      </c>
      <c r="L42" s="2">
        <f t="shared" si="4"/>
        <v>90</v>
      </c>
      <c r="M42" s="2"/>
      <c r="N42" s="2"/>
    </row>
    <row r="44" spans="1:14" x14ac:dyDescent="0.3">
      <c r="A44" s="3" t="s">
        <v>43</v>
      </c>
    </row>
    <row r="45" spans="1:14" x14ac:dyDescent="0.3">
      <c r="A45" t="s">
        <v>26</v>
      </c>
      <c r="C45" s="1">
        <f>B13</f>
        <v>150000</v>
      </c>
      <c r="D45" s="1">
        <f>C45*(1+C$25)</f>
        <v>158700</v>
      </c>
      <c r="E45" s="1">
        <f t="shared" ref="E45:L45" si="5">D45*(1+D$25)</f>
        <v>170562.82500000001</v>
      </c>
      <c r="F45" s="1">
        <f t="shared" si="5"/>
        <v>183696.16252499999</v>
      </c>
      <c r="G45" s="1">
        <f t="shared" si="5"/>
        <v>197840.76703942497</v>
      </c>
      <c r="H45" s="1">
        <f t="shared" si="5"/>
        <v>213074.50610146069</v>
      </c>
      <c r="I45" s="1">
        <f t="shared" si="5"/>
        <v>229481.24307127314</v>
      </c>
      <c r="J45" s="1">
        <f t="shared" si="5"/>
        <v>247151.29878776116</v>
      </c>
      <c r="K45" s="1">
        <f t="shared" si="5"/>
        <v>266181.94879441877</v>
      </c>
      <c r="L45" s="1">
        <f t="shared" si="5"/>
        <v>286677.95885158901</v>
      </c>
      <c r="M45" s="1"/>
      <c r="N45" s="1"/>
    </row>
    <row r="46" spans="1:14" x14ac:dyDescent="0.3">
      <c r="A46" t="s">
        <v>27</v>
      </c>
      <c r="C46" s="1">
        <f t="shared" ref="C46:C49" si="6">B14</f>
        <v>200000</v>
      </c>
      <c r="D46" s="1">
        <f t="shared" ref="D46:L49" si="7">C46*(1+C$25)</f>
        <v>211600</v>
      </c>
      <c r="E46" s="1">
        <f t="shared" si="7"/>
        <v>227417.1</v>
      </c>
      <c r="F46" s="1">
        <f t="shared" si="7"/>
        <v>244928.21669999999</v>
      </c>
      <c r="G46" s="1">
        <f t="shared" si="7"/>
        <v>263787.68938589998</v>
      </c>
      <c r="H46" s="1">
        <f t="shared" si="7"/>
        <v>284099.34146861429</v>
      </c>
      <c r="I46" s="1">
        <f t="shared" si="7"/>
        <v>305974.99076169758</v>
      </c>
      <c r="J46" s="1">
        <f t="shared" si="7"/>
        <v>329535.06505034829</v>
      </c>
      <c r="K46" s="1">
        <f t="shared" si="7"/>
        <v>354909.26505922509</v>
      </c>
      <c r="L46" s="1">
        <f t="shared" si="7"/>
        <v>382237.2784687854</v>
      </c>
      <c r="M46" s="1"/>
      <c r="N46" s="1"/>
    </row>
    <row r="47" spans="1:14" x14ac:dyDescent="0.3">
      <c r="A47" t="s">
        <v>28</v>
      </c>
      <c r="C47" s="1">
        <f t="shared" si="6"/>
        <v>270000</v>
      </c>
      <c r="D47" s="1">
        <f t="shared" si="7"/>
        <v>285660</v>
      </c>
      <c r="E47" s="1">
        <f t="shared" si="7"/>
        <v>307013.08500000002</v>
      </c>
      <c r="F47" s="1">
        <f t="shared" si="7"/>
        <v>330653.09254500002</v>
      </c>
      <c r="G47" s="1">
        <f t="shared" si="7"/>
        <v>356113.38067096501</v>
      </c>
      <c r="H47" s="1">
        <f t="shared" si="7"/>
        <v>383534.1109826293</v>
      </c>
      <c r="I47" s="1">
        <f t="shared" si="7"/>
        <v>413066.23752829176</v>
      </c>
      <c r="J47" s="1">
        <f t="shared" si="7"/>
        <v>444872.3378179702</v>
      </c>
      <c r="K47" s="1">
        <f t="shared" si="7"/>
        <v>479127.50782995386</v>
      </c>
      <c r="L47" s="1">
        <f t="shared" si="7"/>
        <v>516020.32593286026</v>
      </c>
      <c r="M47" s="1"/>
      <c r="N47" s="1"/>
    </row>
    <row r="48" spans="1:14" x14ac:dyDescent="0.3">
      <c r="A48" t="s">
        <v>29</v>
      </c>
      <c r="C48" s="1">
        <f t="shared" si="6"/>
        <v>350000</v>
      </c>
      <c r="D48" s="1">
        <f t="shared" si="7"/>
        <v>370300</v>
      </c>
      <c r="E48" s="1">
        <f t="shared" si="7"/>
        <v>397979.92500000005</v>
      </c>
      <c r="F48" s="1">
        <f t="shared" si="7"/>
        <v>428624.37922500004</v>
      </c>
      <c r="G48" s="1">
        <f t="shared" si="7"/>
        <v>461628.45642532501</v>
      </c>
      <c r="H48" s="1">
        <f t="shared" si="7"/>
        <v>497173.84757007501</v>
      </c>
      <c r="I48" s="1">
        <f t="shared" si="7"/>
        <v>535456.23383297073</v>
      </c>
      <c r="J48" s="1">
        <f t="shared" si="7"/>
        <v>576686.36383810942</v>
      </c>
      <c r="K48" s="1">
        <f t="shared" si="7"/>
        <v>621091.21385364386</v>
      </c>
      <c r="L48" s="1">
        <f t="shared" si="7"/>
        <v>668915.23732037446</v>
      </c>
      <c r="M48" s="1"/>
      <c r="N48" s="1"/>
    </row>
    <row r="49" spans="1:14" x14ac:dyDescent="0.3">
      <c r="A49" t="s">
        <v>30</v>
      </c>
      <c r="C49" s="1">
        <f t="shared" si="6"/>
        <v>430000</v>
      </c>
      <c r="D49" s="1">
        <f t="shared" si="7"/>
        <v>454940</v>
      </c>
      <c r="E49" s="1">
        <f t="shared" si="7"/>
        <v>488946.76500000001</v>
      </c>
      <c r="F49" s="1">
        <f t="shared" si="7"/>
        <v>526595.66590499994</v>
      </c>
      <c r="G49" s="1">
        <f t="shared" si="7"/>
        <v>567143.53217968496</v>
      </c>
      <c r="H49" s="1">
        <f t="shared" si="7"/>
        <v>610813.58415752067</v>
      </c>
      <c r="I49" s="1">
        <f t="shared" si="7"/>
        <v>657846.23013764969</v>
      </c>
      <c r="J49" s="1">
        <f t="shared" si="7"/>
        <v>708500.38985824864</v>
      </c>
      <c r="K49" s="1">
        <f t="shared" si="7"/>
        <v>763054.9198773338</v>
      </c>
      <c r="L49" s="1">
        <f t="shared" si="7"/>
        <v>821810.14870788844</v>
      </c>
      <c r="M49" s="1"/>
      <c r="N49" s="1"/>
    </row>
    <row r="50" spans="1:14" x14ac:dyDescent="0.3">
      <c r="C50" s="1"/>
      <c r="D50" s="1"/>
      <c r="E50" s="1"/>
      <c r="F50" s="1"/>
      <c r="G50" s="1"/>
      <c r="H50" s="1"/>
      <c r="I50" s="1"/>
      <c r="J50" s="1"/>
      <c r="K50" s="1"/>
      <c r="L50" s="1"/>
      <c r="M50" s="1"/>
      <c r="N50" s="1"/>
    </row>
    <row r="51" spans="1:14" x14ac:dyDescent="0.3">
      <c r="C51" s="1"/>
      <c r="D51" s="1"/>
      <c r="E51" s="1"/>
      <c r="F51" s="1"/>
      <c r="G51" s="1"/>
      <c r="H51" s="1"/>
      <c r="I51" s="1"/>
      <c r="J51" s="1"/>
      <c r="K51" s="1"/>
      <c r="L51" s="1"/>
      <c r="M51" s="1"/>
      <c r="N51" s="1"/>
    </row>
    <row r="52" spans="1:14" x14ac:dyDescent="0.3">
      <c r="A52" s="3" t="s">
        <v>41</v>
      </c>
      <c r="C52" s="1"/>
      <c r="D52" s="1"/>
      <c r="E52" s="1"/>
      <c r="F52" s="1"/>
      <c r="G52" s="1"/>
      <c r="H52" s="1"/>
      <c r="I52" s="1"/>
      <c r="J52" s="1"/>
      <c r="K52" s="1"/>
      <c r="L52" s="1"/>
      <c r="M52" s="1"/>
      <c r="N52" s="1"/>
    </row>
    <row r="53" spans="1:14" x14ac:dyDescent="0.3">
      <c r="A53" t="s">
        <v>26</v>
      </c>
      <c r="C53" s="1">
        <f>C38*C45</f>
        <v>15000000</v>
      </c>
      <c r="D53" s="1">
        <f t="shared" ref="D53:L53" si="8">D38*D45</f>
        <v>14917800</v>
      </c>
      <c r="E53" s="1">
        <f t="shared" si="8"/>
        <v>15009528.600000001</v>
      </c>
      <c r="F53" s="1">
        <f t="shared" si="8"/>
        <v>15063085.327049999</v>
      </c>
      <c r="G53" s="1">
        <f t="shared" si="8"/>
        <v>15035898.294996299</v>
      </c>
      <c r="H53" s="1">
        <f t="shared" si="8"/>
        <v>14915215.427102249</v>
      </c>
      <c r="I53" s="1">
        <f t="shared" si="8"/>
        <v>14686799.556561481</v>
      </c>
      <c r="J53" s="1">
        <f t="shared" si="8"/>
        <v>14334775.329690147</v>
      </c>
      <c r="K53" s="1">
        <f t="shared" si="8"/>
        <v>13841461.337309776</v>
      </c>
      <c r="L53" s="1">
        <f t="shared" si="8"/>
        <v>13187186.107173095</v>
      </c>
      <c r="M53" s="1"/>
      <c r="N53" s="1"/>
    </row>
    <row r="54" spans="1:14" x14ac:dyDescent="0.3">
      <c r="A54" t="s">
        <v>27</v>
      </c>
      <c r="C54" s="1">
        <f t="shared" ref="C54:L57" si="9">C39*C46</f>
        <v>20000000</v>
      </c>
      <c r="D54" s="1">
        <f t="shared" si="9"/>
        <v>19467200</v>
      </c>
      <c r="E54" s="1">
        <f t="shared" si="9"/>
        <v>19103036.400000002</v>
      </c>
      <c r="F54" s="1">
        <f t="shared" si="9"/>
        <v>18614544.4692</v>
      </c>
      <c r="G54" s="1">
        <f t="shared" si="9"/>
        <v>17937562.8782412</v>
      </c>
      <c r="H54" s="1">
        <f t="shared" si="9"/>
        <v>17045960.488116857</v>
      </c>
      <c r="I54" s="1">
        <f t="shared" si="9"/>
        <v>15910699.519608274</v>
      </c>
      <c r="J54" s="1">
        <f t="shared" si="9"/>
        <v>14499542.862215325</v>
      </c>
      <c r="K54" s="1">
        <f t="shared" si="9"/>
        <v>12776733.542132104</v>
      </c>
      <c r="L54" s="1">
        <f t="shared" si="9"/>
        <v>10702643.797125991</v>
      </c>
      <c r="M54" s="1"/>
      <c r="N54" s="1"/>
    </row>
    <row r="55" spans="1:14" x14ac:dyDescent="0.3">
      <c r="A55" t="s">
        <v>28</v>
      </c>
      <c r="C55" s="1">
        <f t="shared" si="9"/>
        <v>32400000</v>
      </c>
      <c r="D55" s="1">
        <f t="shared" si="9"/>
        <v>32279580</v>
      </c>
      <c r="E55" s="1">
        <f t="shared" si="9"/>
        <v>32543387.010000002</v>
      </c>
      <c r="F55" s="1">
        <f t="shared" si="9"/>
        <v>32734656.161955003</v>
      </c>
      <c r="G55" s="1">
        <f t="shared" si="9"/>
        <v>32762431.02172878</v>
      </c>
      <c r="H55" s="1">
        <f t="shared" si="9"/>
        <v>32600399.433523491</v>
      </c>
      <c r="I55" s="1">
        <f t="shared" si="9"/>
        <v>32219166.527206756</v>
      </c>
      <c r="J55" s="1">
        <f t="shared" si="9"/>
        <v>31585935.985075884</v>
      </c>
      <c r="K55" s="1">
        <f t="shared" si="9"/>
        <v>30664160.501117047</v>
      </c>
      <c r="L55" s="1">
        <f t="shared" si="9"/>
        <v>29413158.578173034</v>
      </c>
      <c r="M55" s="1"/>
      <c r="N55" s="1"/>
    </row>
    <row r="56" spans="1:14" x14ac:dyDescent="0.3">
      <c r="A56" t="s">
        <v>29</v>
      </c>
      <c r="C56" s="1">
        <f t="shared" si="9"/>
        <v>45500000</v>
      </c>
      <c r="D56" s="1">
        <f t="shared" si="9"/>
        <v>44806300</v>
      </c>
      <c r="E56" s="1">
        <f t="shared" si="9"/>
        <v>44573751.600000009</v>
      </c>
      <c r="F56" s="1">
        <f t="shared" si="9"/>
        <v>44148311.060175002</v>
      </c>
      <c r="G56" s="1">
        <f t="shared" si="9"/>
        <v>43393074.903980553</v>
      </c>
      <c r="H56" s="1">
        <f t="shared" si="9"/>
        <v>42259777.043456376</v>
      </c>
      <c r="I56" s="1">
        <f t="shared" si="9"/>
        <v>40694673.771305777</v>
      </c>
      <c r="J56" s="1">
        <f t="shared" si="9"/>
        <v>38637986.37715333</v>
      </c>
      <c r="K56" s="1">
        <f t="shared" si="9"/>
        <v>36023290.403511345</v>
      </c>
      <c r="L56" s="1">
        <f t="shared" si="9"/>
        <v>32776846.628698349</v>
      </c>
      <c r="M56" s="1"/>
      <c r="N56" s="1"/>
    </row>
    <row r="57" spans="1:14" x14ac:dyDescent="0.3">
      <c r="A57" t="s">
        <v>30</v>
      </c>
      <c r="C57" s="1">
        <f t="shared" si="9"/>
        <v>77400000</v>
      </c>
      <c r="D57" s="1">
        <f t="shared" si="9"/>
        <v>77339800</v>
      </c>
      <c r="E57" s="1">
        <f t="shared" si="9"/>
        <v>78231482.400000006</v>
      </c>
      <c r="F57" s="1">
        <f t="shared" si="9"/>
        <v>78989349.885749996</v>
      </c>
      <c r="G57" s="1">
        <f t="shared" si="9"/>
        <v>79400094.505155891</v>
      </c>
      <c r="H57" s="1">
        <f t="shared" si="9"/>
        <v>79405765.940477684</v>
      </c>
      <c r="I57" s="1">
        <f t="shared" si="9"/>
        <v>78941547.616517961</v>
      </c>
      <c r="J57" s="1">
        <f t="shared" si="9"/>
        <v>77935042.884407356</v>
      </c>
      <c r="K57" s="1">
        <f t="shared" si="9"/>
        <v>76305491.987733379</v>
      </c>
      <c r="L57" s="1">
        <f t="shared" si="9"/>
        <v>73962913.383709952</v>
      </c>
      <c r="M57" s="1"/>
      <c r="N57" s="1"/>
    </row>
    <row r="58" spans="1:14" x14ac:dyDescent="0.3">
      <c r="C58" s="1"/>
      <c r="D58" s="1"/>
      <c r="E58" s="1"/>
      <c r="F58" s="1"/>
      <c r="G58" s="1"/>
      <c r="H58" s="1"/>
      <c r="I58" s="1"/>
      <c r="J58" s="1"/>
      <c r="K58" s="1"/>
      <c r="L58" s="1"/>
      <c r="M58" s="1"/>
      <c r="N58" s="1"/>
    </row>
    <row r="59" spans="1:14" x14ac:dyDescent="0.3">
      <c r="A59" s="3" t="s">
        <v>44</v>
      </c>
      <c r="C59" s="1">
        <f>SUM(C53:C57)</f>
        <v>190300000</v>
      </c>
      <c r="D59" s="1">
        <f t="shared" ref="D59:L59" si="10">SUM(D53:D57)</f>
        <v>188810680</v>
      </c>
      <c r="E59" s="1">
        <f t="shared" si="10"/>
        <v>189461186.01000002</v>
      </c>
      <c r="F59" s="1">
        <f t="shared" si="10"/>
        <v>189549946.90412998</v>
      </c>
      <c r="G59" s="1">
        <f t="shared" si="10"/>
        <v>188529061.60410273</v>
      </c>
      <c r="H59" s="1">
        <f t="shared" si="10"/>
        <v>186227118.33267665</v>
      </c>
      <c r="I59" s="1">
        <f t="shared" si="10"/>
        <v>182452886.99120024</v>
      </c>
      <c r="J59" s="1">
        <f t="shared" si="10"/>
        <v>176993283.43854207</v>
      </c>
      <c r="K59" s="1">
        <f t="shared" si="10"/>
        <v>169611137.77180365</v>
      </c>
      <c r="L59" s="1">
        <f t="shared" si="10"/>
        <v>160042748.49488044</v>
      </c>
      <c r="M59" s="1"/>
      <c r="N59" s="1"/>
    </row>
    <row r="60" spans="1:14" x14ac:dyDescent="0.3">
      <c r="C60" s="1"/>
      <c r="D60" s="1"/>
      <c r="E60" s="1"/>
      <c r="F60" s="1"/>
      <c r="G60" s="1"/>
      <c r="H60" s="1"/>
      <c r="I60" s="1"/>
      <c r="J60" s="1"/>
      <c r="K60" s="1"/>
      <c r="L60" s="1"/>
      <c r="M60" s="1"/>
      <c r="N60" s="1"/>
    </row>
    <row r="61" spans="1:14" x14ac:dyDescent="0.3">
      <c r="C61" s="1"/>
      <c r="D61" s="1"/>
      <c r="E61" s="1"/>
      <c r="F61" s="1"/>
      <c r="G61" s="1"/>
      <c r="H61" s="1"/>
      <c r="I61" s="1"/>
      <c r="J61" s="1"/>
      <c r="K61" s="1"/>
      <c r="L61" s="1"/>
      <c r="M61" s="1"/>
      <c r="N61" s="1"/>
    </row>
    <row r="62" spans="1:14" x14ac:dyDescent="0.3">
      <c r="A62" s="3" t="s">
        <v>45</v>
      </c>
      <c r="C62" s="1"/>
      <c r="D62" s="1"/>
      <c r="E62" s="1"/>
      <c r="F62" s="1"/>
      <c r="G62" s="1"/>
      <c r="H62" s="1"/>
      <c r="I62" s="1"/>
      <c r="J62" s="1"/>
      <c r="K62" s="1"/>
      <c r="L62" s="1"/>
      <c r="M62" s="1"/>
      <c r="N62" s="1"/>
    </row>
    <row r="63" spans="1:14" x14ac:dyDescent="0.3">
      <c r="A63" t="s">
        <v>46</v>
      </c>
      <c r="C63" s="1">
        <f>F5</f>
        <v>2500000</v>
      </c>
      <c r="D63" s="1">
        <f>C63*(1+C25)</f>
        <v>2645000</v>
      </c>
      <c r="E63" s="1">
        <f t="shared" ref="E63:L63" si="11">D63*(1+D25)</f>
        <v>2842713.7500000005</v>
      </c>
      <c r="F63" s="1">
        <f t="shared" si="11"/>
        <v>3061602.7087500002</v>
      </c>
      <c r="G63" s="1">
        <f t="shared" si="11"/>
        <v>3297346.1173237502</v>
      </c>
      <c r="H63" s="1">
        <f t="shared" si="11"/>
        <v>3551241.7683576788</v>
      </c>
      <c r="I63" s="1">
        <f t="shared" si="11"/>
        <v>3824687.3845212199</v>
      </c>
      <c r="J63" s="1">
        <f t="shared" si="11"/>
        <v>4119188.3131293538</v>
      </c>
      <c r="K63" s="1">
        <f t="shared" si="11"/>
        <v>4436365.8132403139</v>
      </c>
      <c r="L63" s="1">
        <f t="shared" si="11"/>
        <v>4777965.9808598179</v>
      </c>
      <c r="M63" s="1"/>
      <c r="N63" s="1"/>
    </row>
    <row r="64" spans="1:14" x14ac:dyDescent="0.3">
      <c r="A64" t="s">
        <v>47</v>
      </c>
      <c r="C64" s="1">
        <f>C59*$G$5</f>
        <v>66605</v>
      </c>
      <c r="D64" s="1">
        <f t="shared" ref="D64:L64" si="12">D59*$G$5</f>
        <v>66083.737999999998</v>
      </c>
      <c r="E64" s="1">
        <f t="shared" si="12"/>
        <v>66311.41510350001</v>
      </c>
      <c r="F64" s="1">
        <f t="shared" si="12"/>
        <v>66342.481416445487</v>
      </c>
      <c r="G64" s="1">
        <f t="shared" si="12"/>
        <v>65985.171561435956</v>
      </c>
      <c r="H64" s="1">
        <f t="shared" si="12"/>
        <v>65179.491416436824</v>
      </c>
      <c r="I64" s="1">
        <f t="shared" si="12"/>
        <v>63858.510446920081</v>
      </c>
      <c r="J64" s="1">
        <f t="shared" si="12"/>
        <v>61947.649203489724</v>
      </c>
      <c r="K64" s="1">
        <f t="shared" si="12"/>
        <v>59363.898220131276</v>
      </c>
      <c r="L64" s="1">
        <f t="shared" si="12"/>
        <v>56014.961973208156</v>
      </c>
      <c r="M64" s="1"/>
      <c r="N64" s="1"/>
    </row>
    <row r="65" spans="1:14" x14ac:dyDescent="0.3">
      <c r="A65" t="s">
        <v>48</v>
      </c>
      <c r="C65" s="1">
        <f>F6</f>
        <v>1900000</v>
      </c>
      <c r="D65" s="1">
        <f>C65*(1+C25)</f>
        <v>2010200</v>
      </c>
      <c r="E65" s="1">
        <f t="shared" ref="E65:L65" si="13">D65*(1+D25)</f>
        <v>2160462.4500000002</v>
      </c>
      <c r="F65" s="1">
        <f t="shared" si="13"/>
        <v>2326818.05865</v>
      </c>
      <c r="G65" s="1">
        <f t="shared" si="13"/>
        <v>2505983.0491660498</v>
      </c>
      <c r="H65" s="1">
        <f t="shared" si="13"/>
        <v>2698943.7439518357</v>
      </c>
      <c r="I65" s="1">
        <f t="shared" si="13"/>
        <v>2906762.4122361271</v>
      </c>
      <c r="J65" s="1">
        <f t="shared" si="13"/>
        <v>3130583.1179783088</v>
      </c>
      <c r="K65" s="1">
        <f t="shared" si="13"/>
        <v>3371638.0180626386</v>
      </c>
      <c r="L65" s="1">
        <f t="shared" si="13"/>
        <v>3631254.1454534614</v>
      </c>
      <c r="M65" s="1"/>
      <c r="N65" s="1"/>
    </row>
    <row r="66" spans="1:14" x14ac:dyDescent="0.3">
      <c r="A66" t="s">
        <v>49</v>
      </c>
      <c r="C66" s="1">
        <f>C59*$G$6</f>
        <v>47575</v>
      </c>
      <c r="D66" s="1">
        <f t="shared" ref="D66:L66" si="14">D59*$G$6</f>
        <v>47202.67</v>
      </c>
      <c r="E66" s="1">
        <f t="shared" si="14"/>
        <v>47365.296502500009</v>
      </c>
      <c r="F66" s="1">
        <f t="shared" si="14"/>
        <v>47387.486726032497</v>
      </c>
      <c r="G66" s="1">
        <f t="shared" si="14"/>
        <v>47132.265401025681</v>
      </c>
      <c r="H66" s="1">
        <f t="shared" si="14"/>
        <v>46556.779583169162</v>
      </c>
      <c r="I66" s="1">
        <f t="shared" si="14"/>
        <v>45613.22174780006</v>
      </c>
      <c r="J66" s="1">
        <f t="shared" si="14"/>
        <v>44248.320859635518</v>
      </c>
      <c r="K66" s="1">
        <f t="shared" si="14"/>
        <v>42402.784442950913</v>
      </c>
      <c r="L66" s="1">
        <f t="shared" si="14"/>
        <v>40010.687123720112</v>
      </c>
      <c r="M66" s="1"/>
      <c r="N66" s="1"/>
    </row>
    <row r="67" spans="1:14" x14ac:dyDescent="0.3">
      <c r="A67" t="s">
        <v>50</v>
      </c>
      <c r="C67" s="1">
        <f>F7</f>
        <v>1900000</v>
      </c>
      <c r="D67" s="1">
        <f>C67*(1+C25)</f>
        <v>2010200</v>
      </c>
      <c r="E67" s="1">
        <f t="shared" ref="E67:L67" si="15">D67*(1+D25)</f>
        <v>2160462.4500000002</v>
      </c>
      <c r="F67" s="1">
        <f t="shared" si="15"/>
        <v>2326818.05865</v>
      </c>
      <c r="G67" s="1">
        <f t="shared" si="15"/>
        <v>2505983.0491660498</v>
      </c>
      <c r="H67" s="1">
        <f t="shared" si="15"/>
        <v>2698943.7439518357</v>
      </c>
      <c r="I67" s="1">
        <f t="shared" si="15"/>
        <v>2906762.4122361271</v>
      </c>
      <c r="J67" s="1">
        <f t="shared" si="15"/>
        <v>3130583.1179783088</v>
      </c>
      <c r="K67" s="1">
        <f t="shared" si="15"/>
        <v>3371638.0180626386</v>
      </c>
      <c r="L67" s="1">
        <f t="shared" si="15"/>
        <v>3631254.1454534614</v>
      </c>
      <c r="M67" s="1"/>
      <c r="N67" s="1"/>
    </row>
    <row r="68" spans="1:14" x14ac:dyDescent="0.3">
      <c r="A68" t="s">
        <v>51</v>
      </c>
      <c r="C68" s="1">
        <f>C59*$G$7</f>
        <v>47575</v>
      </c>
      <c r="D68" s="1">
        <f t="shared" ref="D68:L68" si="16">D59*$G$7</f>
        <v>47202.67</v>
      </c>
      <c r="E68" s="1">
        <f t="shared" si="16"/>
        <v>47365.296502500009</v>
      </c>
      <c r="F68" s="1">
        <f t="shared" si="16"/>
        <v>47387.486726032497</v>
      </c>
      <c r="G68" s="1">
        <f t="shared" si="16"/>
        <v>47132.265401025681</v>
      </c>
      <c r="H68" s="1">
        <f t="shared" si="16"/>
        <v>46556.779583169162</v>
      </c>
      <c r="I68" s="1">
        <f t="shared" si="16"/>
        <v>45613.22174780006</v>
      </c>
      <c r="J68" s="1">
        <f t="shared" si="16"/>
        <v>44248.320859635518</v>
      </c>
      <c r="K68" s="1">
        <f t="shared" si="16"/>
        <v>42402.784442950913</v>
      </c>
      <c r="L68" s="1">
        <f t="shared" si="16"/>
        <v>40010.687123720112</v>
      </c>
      <c r="M68" s="1"/>
      <c r="N68" s="1"/>
    </row>
    <row r="69" spans="1:14" x14ac:dyDescent="0.3">
      <c r="A69" t="s">
        <v>52</v>
      </c>
      <c r="C69" s="1">
        <f>F8</f>
        <v>1900000</v>
      </c>
      <c r="D69" s="1">
        <f>C69*(1+C25)</f>
        <v>2010200</v>
      </c>
      <c r="E69" s="1">
        <f t="shared" ref="E69:L69" si="17">D69*(1+D25)</f>
        <v>2160462.4500000002</v>
      </c>
      <c r="F69" s="1">
        <f t="shared" si="17"/>
        <v>2326818.05865</v>
      </c>
      <c r="G69" s="1">
        <f t="shared" si="17"/>
        <v>2505983.0491660498</v>
      </c>
      <c r="H69" s="1">
        <f t="shared" si="17"/>
        <v>2698943.7439518357</v>
      </c>
      <c r="I69" s="1">
        <f t="shared" si="17"/>
        <v>2906762.4122361271</v>
      </c>
      <c r="J69" s="1">
        <f t="shared" si="17"/>
        <v>3130583.1179783088</v>
      </c>
      <c r="K69" s="1">
        <f t="shared" si="17"/>
        <v>3371638.0180626386</v>
      </c>
      <c r="L69" s="1">
        <f t="shared" si="17"/>
        <v>3631254.1454534614</v>
      </c>
      <c r="M69" s="1"/>
      <c r="N69" s="1"/>
    </row>
    <row r="70" spans="1:14" x14ac:dyDescent="0.3">
      <c r="A70" t="s">
        <v>53</v>
      </c>
      <c r="C70" s="1">
        <f>C59*$G$8</f>
        <v>47575</v>
      </c>
      <c r="D70" s="1">
        <f t="shared" ref="D70:L70" si="18">D59*$G$8</f>
        <v>47202.67</v>
      </c>
      <c r="E70" s="1">
        <f t="shared" si="18"/>
        <v>47365.296502500009</v>
      </c>
      <c r="F70" s="1">
        <f t="shared" si="18"/>
        <v>47387.486726032497</v>
      </c>
      <c r="G70" s="1">
        <f t="shared" si="18"/>
        <v>47132.265401025681</v>
      </c>
      <c r="H70" s="1">
        <f t="shared" si="18"/>
        <v>46556.779583169162</v>
      </c>
      <c r="I70" s="1">
        <f t="shared" si="18"/>
        <v>45613.22174780006</v>
      </c>
      <c r="J70" s="1">
        <f t="shared" si="18"/>
        <v>44248.320859635518</v>
      </c>
      <c r="K70" s="1">
        <f t="shared" si="18"/>
        <v>42402.784442950913</v>
      </c>
      <c r="L70" s="1">
        <f t="shared" si="18"/>
        <v>40010.687123720112</v>
      </c>
      <c r="M70" s="1"/>
      <c r="N70" s="1"/>
    </row>
    <row r="71" spans="1:14" x14ac:dyDescent="0.3">
      <c r="A71" t="s">
        <v>102</v>
      </c>
      <c r="C71" s="1">
        <f>J5+J6+J7+J8</f>
        <v>3000000</v>
      </c>
      <c r="D71" s="1">
        <f>C71*(1+C25)</f>
        <v>3174000</v>
      </c>
      <c r="E71" s="1">
        <f t="shared" ref="E71:L71" si="19">D71*(1+D25)</f>
        <v>3411256.5000000005</v>
      </c>
      <c r="F71" s="1">
        <f t="shared" si="19"/>
        <v>3673923.2505000005</v>
      </c>
      <c r="G71" s="1">
        <f t="shared" si="19"/>
        <v>3956815.3407885004</v>
      </c>
      <c r="H71" s="1">
        <f t="shared" si="19"/>
        <v>4261490.1220292151</v>
      </c>
      <c r="I71" s="1">
        <f t="shared" si="19"/>
        <v>4589624.861425464</v>
      </c>
      <c r="J71" s="1">
        <f t="shared" si="19"/>
        <v>4943025.9757552249</v>
      </c>
      <c r="K71" s="1">
        <f t="shared" si="19"/>
        <v>5323638.9758883771</v>
      </c>
      <c r="L71" s="1">
        <f t="shared" si="19"/>
        <v>5733559.1770317815</v>
      </c>
      <c r="M71" s="1"/>
      <c r="N71" s="1"/>
    </row>
    <row r="72" spans="1:14" x14ac:dyDescent="0.3">
      <c r="A72" t="s">
        <v>54</v>
      </c>
      <c r="C72" s="1">
        <f>N5*O5</f>
        <v>9000000</v>
      </c>
      <c r="D72" s="1">
        <f>C72*(1+C25)</f>
        <v>9522000</v>
      </c>
      <c r="E72" s="1">
        <f t="shared" ref="E72:L72" si="20">D72*(1+D25)</f>
        <v>10233769.5</v>
      </c>
      <c r="F72" s="1">
        <f t="shared" si="20"/>
        <v>11021769.751499999</v>
      </c>
      <c r="G72" s="1">
        <f t="shared" si="20"/>
        <v>11870446.022365499</v>
      </c>
      <c r="H72" s="1">
        <f t="shared" si="20"/>
        <v>12784470.366087642</v>
      </c>
      <c r="I72" s="1">
        <f t="shared" si="20"/>
        <v>13768874.584276389</v>
      </c>
      <c r="J72" s="1">
        <f t="shared" si="20"/>
        <v>14829077.92726567</v>
      </c>
      <c r="K72" s="1">
        <f t="shared" si="20"/>
        <v>15970916.927665126</v>
      </c>
      <c r="L72" s="1">
        <f t="shared" si="20"/>
        <v>17200677.531095341</v>
      </c>
      <c r="M72" s="1"/>
      <c r="N72" s="1"/>
    </row>
    <row r="73" spans="1:14" x14ac:dyDescent="0.3">
      <c r="A73" t="s">
        <v>55</v>
      </c>
      <c r="C73" s="1">
        <f>C59*$P$5</f>
        <v>28544.999999999996</v>
      </c>
      <c r="D73" s="1">
        <f t="shared" ref="D73:L73" si="21">D59*$P$5</f>
        <v>28321.601999999999</v>
      </c>
      <c r="E73" s="1">
        <f t="shared" si="21"/>
        <v>28419.177901499999</v>
      </c>
      <c r="F73" s="1">
        <f t="shared" si="21"/>
        <v>28432.492035619496</v>
      </c>
      <c r="G73" s="1">
        <f t="shared" si="21"/>
        <v>28279.359240615406</v>
      </c>
      <c r="H73" s="1">
        <f t="shared" si="21"/>
        <v>27934.067749901496</v>
      </c>
      <c r="I73" s="1">
        <f t="shared" si="21"/>
        <v>27367.933048680032</v>
      </c>
      <c r="J73" s="1">
        <f t="shared" si="21"/>
        <v>26548.992515781309</v>
      </c>
      <c r="K73" s="1">
        <f t="shared" si="21"/>
        <v>25441.670665770544</v>
      </c>
      <c r="L73" s="1">
        <f t="shared" si="21"/>
        <v>24006.412274232065</v>
      </c>
      <c r="M73" s="1"/>
      <c r="N73" s="1"/>
    </row>
    <row r="74" spans="1:14" x14ac:dyDescent="0.3">
      <c r="A74" t="s">
        <v>56</v>
      </c>
      <c r="C74" s="1">
        <f>N6*O6</f>
        <v>8000000</v>
      </c>
      <c r="D74" s="1">
        <f>C74*(1+C25)</f>
        <v>8464000</v>
      </c>
      <c r="E74" s="1">
        <f t="shared" ref="E74:L74" si="22">D74*(1+D25)</f>
        <v>9096684</v>
      </c>
      <c r="F74" s="1">
        <f t="shared" si="22"/>
        <v>9797128.6679999996</v>
      </c>
      <c r="G74" s="1">
        <f t="shared" si="22"/>
        <v>10551507.575436</v>
      </c>
      <c r="H74" s="1">
        <f t="shared" si="22"/>
        <v>11363973.658744572</v>
      </c>
      <c r="I74" s="1">
        <f t="shared" si="22"/>
        <v>12238999.630467903</v>
      </c>
      <c r="J74" s="1">
        <f t="shared" si="22"/>
        <v>13181402.602013931</v>
      </c>
      <c r="K74" s="1">
        <f t="shared" si="22"/>
        <v>14196370.602369003</v>
      </c>
      <c r="L74" s="1">
        <f t="shared" si="22"/>
        <v>15289491.138751416</v>
      </c>
      <c r="M74" s="1"/>
      <c r="N74" s="1"/>
    </row>
    <row r="75" spans="1:14" x14ac:dyDescent="0.3">
      <c r="A75" t="s">
        <v>57</v>
      </c>
      <c r="C75" s="1">
        <f t="shared" ref="C75:C76" si="23">N7*O7</f>
        <v>24000000</v>
      </c>
      <c r="D75" s="1">
        <f>C75*(1+C25)</f>
        <v>25392000</v>
      </c>
      <c r="E75" s="1">
        <f t="shared" ref="E75:L75" si="24">D75*(1+D25)</f>
        <v>27290052.000000004</v>
      </c>
      <c r="F75" s="1">
        <f t="shared" si="24"/>
        <v>29391386.004000004</v>
      </c>
      <c r="G75" s="1">
        <f t="shared" si="24"/>
        <v>31654522.726308003</v>
      </c>
      <c r="H75" s="1">
        <f t="shared" si="24"/>
        <v>34091920.976233721</v>
      </c>
      <c r="I75" s="1">
        <f t="shared" si="24"/>
        <v>36716998.891403712</v>
      </c>
      <c r="J75" s="1">
        <f t="shared" si="24"/>
        <v>39544207.806041799</v>
      </c>
      <c r="K75" s="1">
        <f t="shared" si="24"/>
        <v>42589111.807107016</v>
      </c>
      <c r="L75" s="1">
        <f t="shared" si="24"/>
        <v>45868473.416254252</v>
      </c>
      <c r="M75" s="1"/>
      <c r="N75" s="1"/>
    </row>
    <row r="76" spans="1:14" x14ac:dyDescent="0.3">
      <c r="A76" t="s">
        <v>58</v>
      </c>
      <c r="C76" s="1">
        <f t="shared" si="23"/>
        <v>8000000</v>
      </c>
      <c r="D76" s="1">
        <f>C76*(1+C25)</f>
        <v>8464000</v>
      </c>
      <c r="E76" s="1">
        <f t="shared" ref="E76:L76" si="25">D76*(1+D25)</f>
        <v>9096684</v>
      </c>
      <c r="F76" s="1">
        <f t="shared" si="25"/>
        <v>9797128.6679999996</v>
      </c>
      <c r="G76" s="1">
        <f t="shared" si="25"/>
        <v>10551507.575436</v>
      </c>
      <c r="H76" s="1">
        <f t="shared" si="25"/>
        <v>11363973.658744572</v>
      </c>
      <c r="I76" s="1">
        <f t="shared" si="25"/>
        <v>12238999.630467903</v>
      </c>
      <c r="J76" s="1">
        <f t="shared" si="25"/>
        <v>13181402.602013931</v>
      </c>
      <c r="K76" s="1">
        <f t="shared" si="25"/>
        <v>14196370.602369003</v>
      </c>
      <c r="L76" s="1">
        <f t="shared" si="25"/>
        <v>15289491.138751416</v>
      </c>
      <c r="M76" s="1"/>
      <c r="N76" s="1"/>
    </row>
    <row r="77" spans="1:14" x14ac:dyDescent="0.3">
      <c r="A77" t="s">
        <v>59</v>
      </c>
      <c r="C77" s="1">
        <f>C53*$D$13</f>
        <v>8400000</v>
      </c>
      <c r="D77" s="1">
        <f t="shared" ref="D77:L77" si="26">D53*$D$13</f>
        <v>8353968.0000000009</v>
      </c>
      <c r="E77" s="1">
        <f t="shared" si="26"/>
        <v>8405336.0160000008</v>
      </c>
      <c r="F77" s="1">
        <f t="shared" si="26"/>
        <v>8435327.783148</v>
      </c>
      <c r="G77" s="1">
        <f t="shared" si="26"/>
        <v>8420103.0451979283</v>
      </c>
      <c r="H77" s="1">
        <f t="shared" si="26"/>
        <v>8352520.63917726</v>
      </c>
      <c r="I77" s="1">
        <f t="shared" si="26"/>
        <v>8224607.7516744304</v>
      </c>
      <c r="J77" s="1">
        <f t="shared" si="26"/>
        <v>8027474.1846264834</v>
      </c>
      <c r="K77" s="1">
        <f t="shared" si="26"/>
        <v>7751218.3488934748</v>
      </c>
      <c r="L77" s="1">
        <f t="shared" si="26"/>
        <v>7384824.220016934</v>
      </c>
      <c r="M77" s="1"/>
      <c r="N77" s="1"/>
    </row>
    <row r="78" spans="1:14" x14ac:dyDescent="0.3">
      <c r="A78" t="s">
        <v>60</v>
      </c>
      <c r="C78" s="1">
        <f>C54*$D$14</f>
        <v>9400000</v>
      </c>
      <c r="D78" s="1">
        <f t="shared" ref="D78:L78" si="27">D54*$D$14</f>
        <v>9149584</v>
      </c>
      <c r="E78" s="1">
        <f t="shared" si="27"/>
        <v>8978427.1080000009</v>
      </c>
      <c r="F78" s="1">
        <f t="shared" si="27"/>
        <v>8748835.9005239997</v>
      </c>
      <c r="G78" s="1">
        <f t="shared" si="27"/>
        <v>8430654.5527733639</v>
      </c>
      <c r="H78" s="1">
        <f t="shared" si="27"/>
        <v>8011601.4294149224</v>
      </c>
      <c r="I78" s="1">
        <f t="shared" si="27"/>
        <v>7478028.7742158882</v>
      </c>
      <c r="J78" s="1">
        <f t="shared" si="27"/>
        <v>6814785.1452412028</v>
      </c>
      <c r="K78" s="1">
        <f t="shared" si="27"/>
        <v>6005064.764802088</v>
      </c>
      <c r="L78" s="1">
        <f t="shared" si="27"/>
        <v>5030242.5846492155</v>
      </c>
      <c r="M78" s="1"/>
      <c r="N78" s="1"/>
    </row>
    <row r="79" spans="1:14" x14ac:dyDescent="0.3">
      <c r="A79" t="s">
        <v>61</v>
      </c>
      <c r="C79" s="1">
        <f>C55*$D$15</f>
        <v>18468000</v>
      </c>
      <c r="D79" s="1">
        <f t="shared" ref="D79:L79" si="28">D55*$D$15</f>
        <v>18399360.599999998</v>
      </c>
      <c r="E79" s="1">
        <f t="shared" si="28"/>
        <v>18549730.595699999</v>
      </c>
      <c r="F79" s="1">
        <f t="shared" si="28"/>
        <v>18658754.012314349</v>
      </c>
      <c r="G79" s="1">
        <f t="shared" si="28"/>
        <v>18674585.682385404</v>
      </c>
      <c r="H79" s="1">
        <f t="shared" si="28"/>
        <v>18582227.677108388</v>
      </c>
      <c r="I79" s="1">
        <f t="shared" si="28"/>
        <v>18364924.920507848</v>
      </c>
      <c r="J79" s="1">
        <f t="shared" si="28"/>
        <v>18003983.511493251</v>
      </c>
      <c r="K79" s="1">
        <f t="shared" si="28"/>
        <v>17478571.485636715</v>
      </c>
      <c r="L79" s="1">
        <f t="shared" si="28"/>
        <v>16765500.389558628</v>
      </c>
      <c r="M79" s="1"/>
      <c r="N79" s="1"/>
    </row>
    <row r="80" spans="1:14" x14ac:dyDescent="0.3">
      <c r="A80" t="s">
        <v>62</v>
      </c>
      <c r="C80" s="1">
        <f>C56*$D$16</f>
        <v>24570000</v>
      </c>
      <c r="D80" s="1">
        <f t="shared" ref="D80:L80" si="29">D56*$D$16</f>
        <v>24195402</v>
      </c>
      <c r="E80" s="1">
        <f t="shared" si="29"/>
        <v>24069825.864000008</v>
      </c>
      <c r="F80" s="1">
        <f t="shared" si="29"/>
        <v>23840087.972494502</v>
      </c>
      <c r="G80" s="1">
        <f t="shared" si="29"/>
        <v>23432260.448149499</v>
      </c>
      <c r="H80" s="1">
        <f t="shared" si="29"/>
        <v>22820279.603466444</v>
      </c>
      <c r="I80" s="1">
        <f t="shared" si="29"/>
        <v>21975123.836505122</v>
      </c>
      <c r="J80" s="1">
        <f t="shared" si="29"/>
        <v>20864512.643662799</v>
      </c>
      <c r="K80" s="1">
        <f t="shared" si="29"/>
        <v>19452576.817896128</v>
      </c>
      <c r="L80" s="1">
        <f t="shared" si="29"/>
        <v>17699497.179497108</v>
      </c>
      <c r="M80" s="1"/>
      <c r="N80" s="1"/>
    </row>
    <row r="81" spans="1:16" x14ac:dyDescent="0.3">
      <c r="A81" t="s">
        <v>63</v>
      </c>
      <c r="C81" s="1">
        <f>C57*$D$17</f>
        <v>34830000</v>
      </c>
      <c r="D81" s="1">
        <f t="shared" ref="D81:L81" si="30">D57*$D$17</f>
        <v>34802910</v>
      </c>
      <c r="E81" s="1">
        <f t="shared" si="30"/>
        <v>35204167.080000006</v>
      </c>
      <c r="F81" s="1">
        <f t="shared" si="30"/>
        <v>35545207.4485875</v>
      </c>
      <c r="G81" s="1">
        <f t="shared" si="30"/>
        <v>35730042.527320154</v>
      </c>
      <c r="H81" s="1">
        <f t="shared" si="30"/>
        <v>35732594.673214957</v>
      </c>
      <c r="I81" s="1">
        <f t="shared" si="30"/>
        <v>35523696.427433081</v>
      </c>
      <c r="J81" s="1">
        <f t="shared" si="30"/>
        <v>35070769.297983311</v>
      </c>
      <c r="K81" s="1">
        <f t="shared" si="30"/>
        <v>34337471.39448002</v>
      </c>
      <c r="L81" s="1">
        <f t="shared" si="30"/>
        <v>33283311.022669479</v>
      </c>
      <c r="M81" s="1"/>
      <c r="N81" s="1"/>
    </row>
    <row r="82" spans="1:16" x14ac:dyDescent="0.3">
      <c r="A82" t="s">
        <v>64</v>
      </c>
      <c r="C82" s="1">
        <f>(B8*B11)/C8</f>
        <v>9800000</v>
      </c>
      <c r="D82" s="1">
        <f>C82</f>
        <v>9800000</v>
      </c>
      <c r="E82" s="1">
        <f t="shared" ref="E82:L84" si="31">D82</f>
        <v>9800000</v>
      </c>
      <c r="F82" s="1">
        <f t="shared" si="31"/>
        <v>9800000</v>
      </c>
      <c r="G82" s="1">
        <f t="shared" si="31"/>
        <v>9800000</v>
      </c>
      <c r="H82" s="1">
        <f t="shared" si="31"/>
        <v>9800000</v>
      </c>
      <c r="I82" s="1">
        <f t="shared" si="31"/>
        <v>9800000</v>
      </c>
      <c r="J82" s="1">
        <f t="shared" si="31"/>
        <v>9800000</v>
      </c>
      <c r="K82" s="1">
        <f t="shared" si="31"/>
        <v>9800000</v>
      </c>
      <c r="L82" s="1">
        <f t="shared" si="31"/>
        <v>9800000</v>
      </c>
      <c r="M82" s="1"/>
      <c r="N82" s="1"/>
    </row>
    <row r="83" spans="1:16" x14ac:dyDescent="0.3">
      <c r="A83" t="s">
        <v>65</v>
      </c>
      <c r="C83" s="1">
        <f>B9/C9</f>
        <v>5000000</v>
      </c>
      <c r="D83" s="1">
        <f>C83</f>
        <v>5000000</v>
      </c>
      <c r="E83" s="1">
        <f t="shared" si="31"/>
        <v>5000000</v>
      </c>
      <c r="F83" s="1">
        <f t="shared" si="31"/>
        <v>5000000</v>
      </c>
      <c r="G83" s="1">
        <f t="shared" si="31"/>
        <v>5000000</v>
      </c>
      <c r="H83" s="1"/>
      <c r="I83" s="1"/>
      <c r="J83" s="1"/>
      <c r="K83" s="1"/>
      <c r="L83" s="1"/>
      <c r="M83" s="1"/>
      <c r="N83" s="1"/>
    </row>
    <row r="84" spans="1:16" x14ac:dyDescent="0.3">
      <c r="A84" t="s">
        <v>66</v>
      </c>
      <c r="C84" s="1">
        <f>B10/C10</f>
        <v>5800000</v>
      </c>
      <c r="D84" s="1">
        <f>C84</f>
        <v>5800000</v>
      </c>
      <c r="E84" s="1">
        <f t="shared" si="31"/>
        <v>5800000</v>
      </c>
      <c r="F84" s="1">
        <f t="shared" si="31"/>
        <v>5800000</v>
      </c>
      <c r="G84" s="1">
        <f t="shared" si="31"/>
        <v>5800000</v>
      </c>
      <c r="H84" s="1"/>
      <c r="I84" s="1"/>
      <c r="J84" s="1"/>
      <c r="K84" s="1"/>
      <c r="L84" s="1"/>
      <c r="M84" s="1"/>
      <c r="N84" s="1"/>
    </row>
    <row r="85" spans="1:16" x14ac:dyDescent="0.3">
      <c r="C85" s="1"/>
      <c r="D85" s="1"/>
      <c r="E85" s="1"/>
      <c r="F85" s="1"/>
      <c r="G85" s="1"/>
      <c r="H85" s="1"/>
      <c r="I85" s="1"/>
      <c r="J85" s="1"/>
      <c r="K85" s="1"/>
      <c r="L85" s="1"/>
      <c r="M85" s="1"/>
      <c r="N85" s="1"/>
    </row>
    <row r="86" spans="1:16" x14ac:dyDescent="0.3">
      <c r="A86" s="3" t="s">
        <v>69</v>
      </c>
      <c r="C86" s="1">
        <f>SUM(C63:C84)</f>
        <v>176705875</v>
      </c>
      <c r="D86" s="1">
        <f t="shared" ref="D86:L86" si="32">SUM(D63:D84)</f>
        <v>179428837.94999999</v>
      </c>
      <c r="E86" s="1">
        <f t="shared" si="32"/>
        <v>184496860.24621251</v>
      </c>
      <c r="F86" s="1">
        <f t="shared" si="32"/>
        <v>189788543.77739853</v>
      </c>
      <c r="G86" s="1">
        <f t="shared" si="32"/>
        <v>194923402.08798736</v>
      </c>
      <c r="H86" s="1">
        <f t="shared" si="32"/>
        <v>189045909.70235074</v>
      </c>
      <c r="I86" s="1">
        <f t="shared" si="32"/>
        <v>193692920.03834635</v>
      </c>
      <c r="J86" s="1">
        <f t="shared" si="32"/>
        <v>197992820.96746007</v>
      </c>
      <c r="K86" s="1">
        <f t="shared" si="32"/>
        <v>201864605.51674995</v>
      </c>
      <c r="L86" s="1">
        <f t="shared" si="32"/>
        <v>205216849.6511144</v>
      </c>
      <c r="M86" s="1"/>
      <c r="N86" s="1"/>
    </row>
    <row r="88" spans="1:16" x14ac:dyDescent="0.3">
      <c r="A88" t="s">
        <v>70</v>
      </c>
      <c r="C88" s="1">
        <f>C59-C86</f>
        <v>13594125</v>
      </c>
      <c r="D88" s="1">
        <f t="shared" ref="D88:L88" si="33">D59-D86</f>
        <v>9381842.0500000119</v>
      </c>
      <c r="E88" s="1">
        <f t="shared" si="33"/>
        <v>4964325.763787508</v>
      </c>
      <c r="F88" s="1">
        <f t="shared" si="33"/>
        <v>-238596.87326854467</v>
      </c>
      <c r="G88" s="1">
        <f t="shared" si="33"/>
        <v>-6394340.4838846326</v>
      </c>
      <c r="H88" s="1">
        <f t="shared" si="33"/>
        <v>-2818791.3696740866</v>
      </c>
      <c r="I88" s="1">
        <f t="shared" si="33"/>
        <v>-11240033.047146112</v>
      </c>
      <c r="J88" s="1">
        <f t="shared" si="33"/>
        <v>-20999537.528917998</v>
      </c>
      <c r="K88" s="1">
        <f t="shared" si="33"/>
        <v>-32253467.744946301</v>
      </c>
      <c r="L88" s="1">
        <f t="shared" si="33"/>
        <v>-45174101.156233966</v>
      </c>
      <c r="M88" s="1"/>
      <c r="N88" s="1"/>
    </row>
    <row r="89" spans="1:16" x14ac:dyDescent="0.3">
      <c r="A89" t="s">
        <v>71</v>
      </c>
      <c r="C89" s="1">
        <f>C88*$B$6</f>
        <v>3942296.2499999995</v>
      </c>
      <c r="D89" s="1">
        <f t="shared" ref="D89:L89" si="34">D88*$B$6</f>
        <v>2720734.1945000035</v>
      </c>
      <c r="E89" s="1">
        <f t="shared" si="34"/>
        <v>1439654.4714983772</v>
      </c>
      <c r="F89" s="1">
        <f t="shared" si="34"/>
        <v>-69193.093247877958</v>
      </c>
      <c r="G89" s="1">
        <f t="shared" si="34"/>
        <v>-1854358.7403265433</v>
      </c>
      <c r="H89" s="1">
        <f t="shared" si="34"/>
        <v>-817449.49720548501</v>
      </c>
      <c r="I89" s="1">
        <f t="shared" si="34"/>
        <v>-3259609.5836723722</v>
      </c>
      <c r="J89" s="1">
        <f t="shared" si="34"/>
        <v>-6089865.8833862189</v>
      </c>
      <c r="K89" s="1">
        <f t="shared" si="34"/>
        <v>-9353505.646034427</v>
      </c>
      <c r="L89" s="1">
        <f t="shared" si="34"/>
        <v>-13100489.33530785</v>
      </c>
      <c r="M89" s="1"/>
      <c r="N89" s="1"/>
    </row>
    <row r="90" spans="1:16" x14ac:dyDescent="0.3">
      <c r="A90" t="s">
        <v>72</v>
      </c>
      <c r="C90" s="1">
        <f>C88-C89</f>
        <v>9651828.75</v>
      </c>
      <c r="D90" s="1">
        <f t="shared" ref="D90:L90" si="35">D88-D89</f>
        <v>6661107.8555000089</v>
      </c>
      <c r="E90" s="1">
        <f t="shared" si="35"/>
        <v>3524671.2922891309</v>
      </c>
      <c r="F90" s="1">
        <f t="shared" si="35"/>
        <v>-169403.78002066672</v>
      </c>
      <c r="G90" s="1">
        <f t="shared" si="35"/>
        <v>-4539981.7435580892</v>
      </c>
      <c r="H90" s="1">
        <f t="shared" si="35"/>
        <v>-2001341.8724686014</v>
      </c>
      <c r="I90" s="1">
        <f t="shared" si="35"/>
        <v>-7980423.4634737391</v>
      </c>
      <c r="J90" s="1">
        <f t="shared" si="35"/>
        <v>-14909671.645531779</v>
      </c>
      <c r="K90" s="1">
        <f t="shared" si="35"/>
        <v>-22899962.098911874</v>
      </c>
      <c r="L90" s="1">
        <f t="shared" si="35"/>
        <v>-32073611.820926115</v>
      </c>
      <c r="M90" s="1"/>
      <c r="N90" s="1"/>
    </row>
    <row r="91" spans="1:16" x14ac:dyDescent="0.3">
      <c r="A91" s="8"/>
      <c r="B91" s="22"/>
      <c r="C91">
        <v>2025</v>
      </c>
      <c r="D91">
        <v>2026</v>
      </c>
      <c r="E91">
        <v>2027</v>
      </c>
      <c r="F91">
        <v>2028</v>
      </c>
      <c r="G91">
        <v>2029</v>
      </c>
      <c r="H91">
        <v>2030</v>
      </c>
      <c r="I91">
        <v>2031</v>
      </c>
      <c r="J91">
        <v>2032</v>
      </c>
      <c r="K91">
        <v>2033</v>
      </c>
      <c r="L91">
        <v>2034</v>
      </c>
      <c r="P91" s="12"/>
    </row>
    <row r="92" spans="1:16" x14ac:dyDescent="0.3">
      <c r="A92" t="s">
        <v>73</v>
      </c>
      <c r="B92" s="1">
        <f>-(B8+B9+B10)</f>
        <v>-299000000</v>
      </c>
    </row>
    <row r="93" spans="1:16" x14ac:dyDescent="0.3">
      <c r="A93" t="s">
        <v>74</v>
      </c>
      <c r="C93" s="1">
        <f>C82+C83+C84</f>
        <v>20600000</v>
      </c>
      <c r="D93" s="1">
        <f t="shared" ref="D93:L93" si="36">D82+D83+D84</f>
        <v>20600000</v>
      </c>
      <c r="E93" s="1">
        <f t="shared" si="36"/>
        <v>20600000</v>
      </c>
      <c r="F93" s="1">
        <f t="shared" si="36"/>
        <v>20600000</v>
      </c>
      <c r="G93" s="1">
        <f t="shared" si="36"/>
        <v>20600000</v>
      </c>
      <c r="H93" s="1">
        <f t="shared" si="36"/>
        <v>9800000</v>
      </c>
      <c r="I93" s="1">
        <f t="shared" si="36"/>
        <v>9800000</v>
      </c>
      <c r="J93" s="1">
        <f t="shared" si="36"/>
        <v>9800000</v>
      </c>
      <c r="K93" s="1">
        <f t="shared" si="36"/>
        <v>9800000</v>
      </c>
      <c r="L93" s="1">
        <f t="shared" si="36"/>
        <v>9800000</v>
      </c>
      <c r="M93" s="1"/>
      <c r="N93" s="1"/>
    </row>
    <row r="94" spans="1:16" x14ac:dyDescent="0.3">
      <c r="A94" t="s">
        <v>101</v>
      </c>
      <c r="D94" s="1"/>
      <c r="E94" s="1"/>
      <c r="F94" s="1">
        <f>IF(E95&lt;C19,B19*E95,0)</f>
        <v>91673750.910698697</v>
      </c>
      <c r="G94" s="1"/>
      <c r="H94" s="1"/>
      <c r="I94" s="1">
        <f>IF(F94&gt;0,0,IF(H95&lt;F19,H95*E19,0))</f>
        <v>0</v>
      </c>
      <c r="J94" s="1"/>
      <c r="K94" s="1"/>
      <c r="L94" s="1">
        <f>IF(F94&gt;0,0,IF(I94&gt;0,0,K95*H19))</f>
        <v>0</v>
      </c>
      <c r="M94" s="1"/>
      <c r="N94" s="1"/>
    </row>
    <row r="95" spans="1:16" x14ac:dyDescent="0.3">
      <c r="A95" t="s">
        <v>75</v>
      </c>
      <c r="B95" s="1">
        <f>B90+B92+B93+B94</f>
        <v>-299000000</v>
      </c>
      <c r="C95" s="1">
        <f t="shared" ref="C95:E95" si="37">C90+C92+C93+C94</f>
        <v>30251828.75</v>
      </c>
      <c r="D95" s="1">
        <f t="shared" si="37"/>
        <v>27261107.855500009</v>
      </c>
      <c r="E95" s="1">
        <f t="shared" si="37"/>
        <v>24124671.29228913</v>
      </c>
      <c r="F95" s="1">
        <f>IF($F$94=0,F90+F92+F93+F94,F94)</f>
        <v>91673750.910698697</v>
      </c>
      <c r="G95" s="1">
        <f>IF($F$94=0,G90+G92+G93+G94,0)</f>
        <v>0</v>
      </c>
      <c r="H95" s="1">
        <f>IF($F$94=0,H90+H92+H93+H94,0)</f>
        <v>0</v>
      </c>
      <c r="I95" s="1">
        <f>IF($F$94&gt;0,0,IF(I94&gt;0,I94,I90+I92+I93+I94))</f>
        <v>0</v>
      </c>
      <c r="J95" s="1">
        <f>IF($F$94&gt;0,0,IF(I94&gt;0,0,J90+J92+J93+J94))</f>
        <v>0</v>
      </c>
      <c r="K95" s="1">
        <f>IF(J95=0,0,K90+K92+K93+K94)</f>
        <v>0</v>
      </c>
      <c r="L95" s="1">
        <f>IF(J95=0,0,L90+L92+L93+L94)</f>
        <v>0</v>
      </c>
      <c r="M95" s="1"/>
      <c r="N95" s="1"/>
    </row>
    <row r="96" spans="1:16" x14ac:dyDescent="0.3">
      <c r="A96" t="s">
        <v>76</v>
      </c>
      <c r="B96" s="4">
        <f>B95*B33</f>
        <v>-17654096.199999999</v>
      </c>
      <c r="C96" s="4">
        <f t="shared" ref="C96:L96" si="38">C95*C33</f>
        <v>2322037.8042540252</v>
      </c>
      <c r="D96" s="4">
        <f t="shared" si="38"/>
        <v>2720222.985997586</v>
      </c>
      <c r="E96" s="4">
        <f t="shared" si="38"/>
        <v>3129433.7502643117</v>
      </c>
      <c r="F96" s="4">
        <f t="shared" si="38"/>
        <v>15459402.726305699</v>
      </c>
      <c r="G96" s="4">
        <f t="shared" si="38"/>
        <v>0</v>
      </c>
      <c r="H96" s="4">
        <f t="shared" si="38"/>
        <v>0</v>
      </c>
      <c r="I96" s="4">
        <f t="shared" si="38"/>
        <v>0</v>
      </c>
      <c r="J96" s="4">
        <f t="shared" si="38"/>
        <v>0</v>
      </c>
      <c r="K96" s="4">
        <f t="shared" si="38"/>
        <v>0</v>
      </c>
      <c r="L96" s="4">
        <f t="shared" si="38"/>
        <v>0</v>
      </c>
      <c r="M96" s="4"/>
      <c r="N96" s="4"/>
    </row>
    <row r="97" spans="1:14" x14ac:dyDescent="0.3">
      <c r="A97" t="s">
        <v>77</v>
      </c>
      <c r="B97" s="4">
        <f>B95*B34</f>
        <v>-17654096.199999999</v>
      </c>
      <c r="C97" s="4">
        <f t="shared" ref="C97:L97" si="39">C95*C34</f>
        <v>1713017.8198380608</v>
      </c>
      <c r="D97" s="4">
        <f t="shared" si="39"/>
        <v>1458339.1047584794</v>
      </c>
      <c r="E97" s="4">
        <f t="shared" si="39"/>
        <v>1208845.7088811428</v>
      </c>
      <c r="F97" s="4">
        <f t="shared" si="39"/>
        <v>4302777.7877261145</v>
      </c>
      <c r="G97" s="4">
        <f t="shared" si="39"/>
        <v>0</v>
      </c>
      <c r="H97" s="4">
        <f t="shared" si="39"/>
        <v>0</v>
      </c>
      <c r="I97" s="4">
        <f t="shared" si="39"/>
        <v>0</v>
      </c>
      <c r="J97" s="4">
        <f t="shared" si="39"/>
        <v>0</v>
      </c>
      <c r="K97" s="4">
        <f t="shared" si="39"/>
        <v>0</v>
      </c>
      <c r="L97" s="4">
        <f t="shared" si="39"/>
        <v>0</v>
      </c>
      <c r="M97" s="4"/>
      <c r="N97" s="4"/>
    </row>
    <row r="98" spans="1:14" x14ac:dyDescent="0.3">
      <c r="A98" t="s">
        <v>78</v>
      </c>
      <c r="B98" s="4">
        <f>B95*B35</f>
        <v>-17654096.199999999</v>
      </c>
      <c r="C98" s="4">
        <f t="shared" ref="C98:L98" si="40">C95*C35</f>
        <v>1775209.2127185601</v>
      </c>
      <c r="D98" s="4">
        <f t="shared" si="40"/>
        <v>1574779.0361465439</v>
      </c>
      <c r="E98" s="4">
        <f t="shared" si="40"/>
        <v>1367718.7867187387</v>
      </c>
      <c r="F98" s="4">
        <f t="shared" si="40"/>
        <v>5100816.4147952516</v>
      </c>
      <c r="G98" s="4">
        <f t="shared" si="40"/>
        <v>0</v>
      </c>
      <c r="H98" s="4">
        <f t="shared" si="40"/>
        <v>0</v>
      </c>
      <c r="I98" s="4">
        <f t="shared" si="40"/>
        <v>0</v>
      </c>
      <c r="J98" s="4">
        <f t="shared" si="40"/>
        <v>0</v>
      </c>
      <c r="K98" s="4">
        <f t="shared" si="40"/>
        <v>0</v>
      </c>
      <c r="L98" s="4">
        <f t="shared" si="40"/>
        <v>0</v>
      </c>
      <c r="M98" s="4"/>
      <c r="N98" s="4"/>
    </row>
    <row r="100" spans="1:14" x14ac:dyDescent="0.3">
      <c r="A100" t="s">
        <v>79</v>
      </c>
      <c r="B100" s="31">
        <f>(NPV(B5,C95:N95)+B95)*B7</f>
        <v>-12248637.957192466</v>
      </c>
    </row>
    <row r="101" spans="1:14" x14ac:dyDescent="0.3">
      <c r="A101" t="s">
        <v>80</v>
      </c>
      <c r="B101" s="31">
        <f>NPV(B4,C96:N96)+B96</f>
        <v>-4563661.375438679</v>
      </c>
    </row>
    <row r="102" spans="1:14" x14ac:dyDescent="0.3">
      <c r="A102" t="s">
        <v>81</v>
      </c>
      <c r="B102" s="31">
        <f>NPV(B4,C97:N97)+B97</f>
        <v>-12439254.503474215</v>
      </c>
    </row>
    <row r="103" spans="1:14" x14ac:dyDescent="0.3">
      <c r="A103" t="s">
        <v>82</v>
      </c>
      <c r="B103" s="31">
        <f>NPV(B4,C98:N98)+B98</f>
        <v>-11829770.249726836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Base case</vt:lpstr>
      <vt:lpstr>Best case</vt:lpstr>
      <vt:lpstr>Worst case</vt:lpstr>
    </vt:vector>
  </TitlesOfParts>
  <Company>The University of Tampa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Shravani Goud</cp:lastModifiedBy>
  <cp:lastPrinted>2017-02-21T16:32:27Z</cp:lastPrinted>
  <dcterms:created xsi:type="dcterms:W3CDTF">2017-02-13T02:46:44Z</dcterms:created>
  <dcterms:modified xsi:type="dcterms:W3CDTF">2024-04-24T05:09:14Z</dcterms:modified>
</cp:coreProperties>
</file>