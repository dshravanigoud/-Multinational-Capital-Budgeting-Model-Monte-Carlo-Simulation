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smargetis\Documents\Documents\FIN 425\Capital Budgeting Material\"/>
    </mc:Choice>
  </mc:AlternateContent>
  <xr:revisionPtr revIDLastSave="0" documentId="13_ncr:1_{A60A18B9-E806-4E7B-93E6-EBF82072E629}" xr6:coauthVersionLast="47" xr6:coauthVersionMax="47" xr10:uidLastSave="{00000000-0000-0000-0000-000000000000}"/>
  <bookViews>
    <workbookView xWindow="-108" yWindow="-108" windowWidth="23256" windowHeight="12456" firstSheet="1" activeTab="1" xr2:uid="{00000000-000D-0000-FFFF-FFFF00000000}"/>
  </bookViews>
  <sheets>
    <sheet name="CB_DATA_" sheetId="2" state="veryHidden" r:id="rId1"/>
    <sheet name="Sheet1" sheetId="1" r:id="rId2"/>
  </sheets>
  <definedNames>
    <definedName name="CB_26e1956b6e7149adbffcba32aef82f2b" localSheetId="0" hidden="1">#N/A</definedName>
    <definedName name="CB_65cbd8fee68d421685b97c7b60105089" localSheetId="0" hidden="1">#N/A</definedName>
    <definedName name="CB_9b47e608062d4c15881e3b60aa08bf5f" localSheetId="0" hidden="1">#N/A</definedName>
    <definedName name="CB_Block_00000000000000000000000000000000" localSheetId="0" hidden="1">"'7.0.0.0"</definedName>
    <definedName name="CB_Block_00000000000000000000000000000000" localSheetId="1" hidden="1">"'7.0.0.0"</definedName>
    <definedName name="CB_Block_00000000000000000000000000000001" localSheetId="0" hidden="1">"'638403876091935663"</definedName>
    <definedName name="CB_Block_00000000000000000000000000000001" localSheetId="1" hidden="1">"'638403873294566355"</definedName>
    <definedName name="CB_Block_00000000000000000000000000000003" localSheetId="0" hidden="1">"'11.1.5046.0"</definedName>
    <definedName name="CB_Block_00000000000000000000000000000003" localSheetId="1" hidden="1">"'11.1.5046.0"</definedName>
    <definedName name="CB_BlockExt_00000000000000000000000000000003" localSheetId="0" hidden="1">"'11.1.2.4.900"</definedName>
    <definedName name="CB_BlockExt_00000000000000000000000000000003" localSheetId="1" hidden="1">"'11.1.2.4.900"</definedName>
    <definedName name="CB_dec02112154c41baa51525ffebc373ea" localSheetId="0" hidden="1">#N/A</definedName>
    <definedName name="CBWorkbookPriority" localSheetId="0" hidden="1">-739428770104818</definedName>
    <definedName name="CBx_2d99e7c05dbb4ba6aedfe1a2880d82ba" localSheetId="0" hidden="1">"'CB_DATA_'!$A$1"</definedName>
    <definedName name="CBx_a8e1cddc456b4b829631e684e32eb7d5" localSheetId="0" hidden="1">"'Sheet1'!$A$1"</definedName>
    <definedName name="CBx_Sheet_Guid" localSheetId="0" hidden="1">"'2d99e7c0-5dbb-4ba6-aedf-e1a2880d82ba"</definedName>
    <definedName name="CBx_Sheet_Guid" localSheetId="1" hidden="1">"'a8e1cddc-456b-4b82-9631-e684e32eb7d5"</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s>
  <calcPr calcId="191029" concurrentCalc="0"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A11" i="2"/>
</calcChain>
</file>

<file path=xl/sharedStrings.xml><?xml version="1.0" encoding="utf-8"?>
<sst xmlns="http://schemas.openxmlformats.org/spreadsheetml/2006/main" count="131" uniqueCount="109">
  <si>
    <t>Twin Vee Capital Budgeting Analysis</t>
  </si>
  <si>
    <t>Assumptions</t>
  </si>
  <si>
    <t>US Discount Rate</t>
  </si>
  <si>
    <t>Mexican Discount Rate</t>
  </si>
  <si>
    <t>Effective Tax Rate</t>
  </si>
  <si>
    <t>Starting Spot Rate US$/Mex$</t>
  </si>
  <si>
    <t>Random Appreciation/Depreciation</t>
  </si>
  <si>
    <t>US Nominal Interest Rate</t>
  </si>
  <si>
    <t>Mexican Nominal Interest Rate</t>
  </si>
  <si>
    <t>US Expected Inflation</t>
  </si>
  <si>
    <t>Mexican Expected Inflation</t>
  </si>
  <si>
    <t>Manufacturing Facility Price</t>
  </si>
  <si>
    <t>Boat Mold Price</t>
  </si>
  <si>
    <t>Equipment Price</t>
  </si>
  <si>
    <t>Salaries</t>
  </si>
  <si>
    <t>Bonus</t>
  </si>
  <si>
    <t>CEO</t>
  </si>
  <si>
    <t>CFO</t>
  </si>
  <si>
    <t>COO</t>
  </si>
  <si>
    <t>CMO</t>
  </si>
  <si>
    <t>Assistant</t>
  </si>
  <si>
    <t>Production Manager</t>
  </si>
  <si>
    <t>Sales Force</t>
  </si>
  <si>
    <t>Number</t>
  </si>
  <si>
    <t>Production Specialist</t>
  </si>
  <si>
    <t>Production Assistant</t>
  </si>
  <si>
    <t>10' Classic</t>
  </si>
  <si>
    <t>14' Classic</t>
  </si>
  <si>
    <t>17' Classic</t>
  </si>
  <si>
    <t>19' Classic</t>
  </si>
  <si>
    <t>22' Classic</t>
  </si>
  <si>
    <t>Price</t>
  </si>
  <si>
    <t>10' Classic Growth in Sales</t>
  </si>
  <si>
    <t>14' Classic Growth in Sales</t>
  </si>
  <si>
    <t>17' Classic Growth in Sales</t>
  </si>
  <si>
    <t>19' Classic Growth in Sales</t>
  </si>
  <si>
    <t>22' Classic Growth in Sales</t>
  </si>
  <si>
    <t>Variable Costs</t>
  </si>
  <si>
    <t>Exchange Rate Random Walk</t>
  </si>
  <si>
    <t>Exchange Rate IRP</t>
  </si>
  <si>
    <t>Exchange Rate RPPP</t>
  </si>
  <si>
    <t>Revenue</t>
  </si>
  <si>
    <t>Sales Forecast</t>
  </si>
  <si>
    <t>Boat Prices</t>
  </si>
  <si>
    <t>Total Revenue</t>
  </si>
  <si>
    <t>Expenses</t>
  </si>
  <si>
    <t>CEO Salary</t>
  </si>
  <si>
    <t>CEO Bonus</t>
  </si>
  <si>
    <t>CFO Salary</t>
  </si>
  <si>
    <t>CFO Bonus</t>
  </si>
  <si>
    <t>COO Salary</t>
  </si>
  <si>
    <t>COO Bonus</t>
  </si>
  <si>
    <t>CMO Salary</t>
  </si>
  <si>
    <t>CMO Bonus</t>
  </si>
  <si>
    <t>Sales Force Salary</t>
  </si>
  <si>
    <t>Sales Force Bonus</t>
  </si>
  <si>
    <t>Production Manager Salary</t>
  </si>
  <si>
    <t>Production Specialist Salary</t>
  </si>
  <si>
    <t>Production Assistant Salary</t>
  </si>
  <si>
    <t>10' Classic Variable Costs</t>
  </si>
  <si>
    <t>14" Classic Variable Costs</t>
  </si>
  <si>
    <t>17' Classic Variable Costs</t>
  </si>
  <si>
    <t>19' Classic Variable Costs</t>
  </si>
  <si>
    <t>22' Classic Variable Costs</t>
  </si>
  <si>
    <t>Facility Depreciation</t>
  </si>
  <si>
    <t>Boat Molds Depreciation</t>
  </si>
  <si>
    <t>Equipment Depreciation</t>
  </si>
  <si>
    <t>Facility Depreciable Base %</t>
  </si>
  <si>
    <t>Depreciation Life</t>
  </si>
  <si>
    <t>Total Expenses</t>
  </si>
  <si>
    <t>Earnings Before Taxes</t>
  </si>
  <si>
    <t>Taxes</t>
  </si>
  <si>
    <t>Net Income</t>
  </si>
  <si>
    <t>Capital Expenditures</t>
  </si>
  <si>
    <t>Depreciation</t>
  </si>
  <si>
    <t>Cash Flow MXN</t>
  </si>
  <si>
    <t>Cash Flow Random Walk</t>
  </si>
  <si>
    <t>Cash Flow IRP</t>
  </si>
  <si>
    <t>Cash Flow RPPP</t>
  </si>
  <si>
    <t>NPV Project Perspective</t>
  </si>
  <si>
    <t>NPV Parent Random Walk</t>
  </si>
  <si>
    <t>NPV Parent IRP</t>
  </si>
  <si>
    <t>NPV Parent RPPP</t>
  </si>
  <si>
    <t>Exchange Rate Forecasts</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</si>
  <si>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</si>
  <si>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</si>
  <si>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</si>
  <si>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</si>
  <si>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</si>
  <si>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</si>
  <si>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</si>
  <si>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</si>
  <si>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</si>
  <si>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</si>
  <si>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</si>
  <si>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</si>
  <si>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2d99e7c0-5dbb-4ba6-aedf-e1a2880d82ba</t>
  </si>
  <si>
    <t>CB_Block_0</t>
  </si>
  <si>
    <t>Decisioneering:7.0.0.0</t>
  </si>
  <si>
    <t>a8e1cddc-456b-4b82-9631-e684e32eb7d5</t>
  </si>
  <si>
    <t>CB_Block_7.0.0.0:1</t>
  </si>
  <si>
    <t>Terminal Value</t>
  </si>
  <si>
    <t>Assistants</t>
  </si>
  <si>
    <t>㜸〱敤㕣㕢㙣ㅣ搵ㄹ摥ㄹ敦慣㜷搶㜶㙣攲㈴㄰慥收㝥㜱戴挴㈱攱㔲㥡〶㕦㜲㌱攴㘲㘲㈷ㄴ㔱扡㡣㜷捦搸㤳散捣㥡㤹㔹㈷愶戴㠴㤶㐲改㐵ㄵ昴愱㠵搲ㄶ搱ち戵慡㔴㠹慡㐲搰搲㠷㑡㤵㕡㔵㔰昵〱㈱昵愱ㄲ㐵扤㍣戴慡㈲昵㠵〷㈴晡㝤㘷㘶㜶㘷㜷扤㘳戳㐰㙢㉡㑦戲㝦捥㥣晢㌹晦昵晣晦㤹愴㤴㔴㉡昵㉥ㅥ晥换㈷捤挴㠵搳㑢㥥㉦散晣㜸愵㕣ㄶ㐵摦慡㌸㕥㝥搴㜵㡤愵㠳㤶攷㜷愱㐲愶㘰愱摣搳ち㥥昵㠰挸ㄶㄶ㠵敢愱㤲㤶㑡㘵戳扡㡡㜲㜶挲摦㐰昴愲戳㔵㙦ㅡ㘰㘶㝣散挸散〹昴㍡敤㔷㕣戱㙤攸㜸搰㜶昷挸㐸㝥㈴扦㙢晢捥ㅢ昳摢户つ㡤㔷换㝥搵ㄵ扢ㅤ㔱昵㕤愳扣㙤㘸慡㍡㕢戶㡡㜷㠸愵㤹捡㐹攱散ㄶ戳摢㙦㤸㌵㜶摥㍣戲㜳搷㉥昳㤶㕢㙥敥挵搰愹挳攳㘳㔳慥㌰扤て愸㑦㡤㔳摥㌹㈱㡡ㄶ搷㈶㠴㙢㌹㜳昹昱㌱晣㡤捤ㅦ㙦㌷攵愷攷㠵昰㌹戴㜰㠵㔳ㄴ㥥㡥㠶㍤昶愸攷㔵敤〵㙥㥥㙥敦挳㔲㡢㠶攷㙢昶戸㈸㤷㜵㍢敡㌵㙢ㅦ挱摥㤵㡤愵㕥㝢㕡㌸㥥攵㕢㡢㤶扦㤴戱㘷搰㔱愹捦㍥收㠹愳㠶㌳㈷づㅢ戶搰散晤㔵慢㤴づ㥥㔴搷搵㔱ㄷ昱㠹挹攵攷㐷㍤㝢㝣摥㜰攵㡣㍣㙥㑣㐲摤㝤㙥戱戱敥攵敤晢攵搴攵〸散昳捡昶昵㔰㜲摣㜰㙢㌵㠷摢搷っㄷ摦㌸㠳敢摢搷㡦敤㔱㘳㥢㙢摢户㤱㕢搹㔸㕢改〹改㕢敥㈸ㄶ愳㘷〸扡〹戲〴㐴愰㥥㈳攸㈱攸〵㔰搲晦〶㤷挴ㅢ戲㐸㉤ㄸ㙡㘱㔶㉤ㄴ搵㐲㐹㉤〸戵㘰慡㠵㌹戵㌰慦ㄶ㉣戵㜰㐲㉤㥣㐴㥤攸挹㜶㜷慢攱昳㔷㔷晢晥㔴昷ㅢ㤳㍦晢昱捤㘷攷㉦㝦攲愶摥つ愸㜴㘷㌸愹〹搷㌸〵㔲慢㔳昱㡥晣㜶晥㔹㤹㉢挰ㄴ收㉥昳㈶㜳㘴愴戴㙢扢㜱㠳愱㜱㔹〹挸㙦㈰㤴〱搴敤㌵敦戲㥣㔲攵㤴挴摤㠵㘳㠶㈷敡ㅢ㌷ㅣ㤶㡤㔵慡㑥挹扢㘰昹挲㘹摦昰挵昹捤㘵昵㑥㕡㥡㑤㠳慤㠴㈷挷扢戸戹搹㜱愳㕣ㄵ愳愷慤愰昸愲愶㘲㝢捡慤捣戶㉦摤攷㡡晢㙢愵㉤㌳ㅡ㠵㔰㕢㤴㝤户慣㌲㈸ち收㌵㌴㍥㕦昱㠴㈳愷㌷㙣㑦㔹挵㤳挲㥤ㄶㄴ㠹愲㈴㤷扡㤹㐵㈱搷てㅦ㜱戰㔰㜰㙢改戲㜸慥戹昷戴て㘶ㄶ㈵捣㜷㐱戸晥搲㡣㌱㕢ㄶ㕢ㅡ慡〴㘳愲㘰㙢㐳昶扥㑡戱敡㡤㔷ㅣ摦慤㤴ㅢ㑢㐶㑢㡢〶㈴㑤改㔰愵㈴搲改㤴ㄴち㄰戸㕤㕤㡡㤲扡慥㍤㉦㐸㐴挴㔰㑣㐶㍥慦㤱散昲㐷戱㍡慣愲㉣㐸㤳敡ㄵ㉢㜴挶昹㑡ㄹ㤳挰㠱戱㌵㔱㝦㜰搰㙢㔶攸戶㠶戹て户戲慡づ㠶慢摦扢㈸ㅣ晦㠰攱㤴捡挲㑤搴㝥ち㘷愴昷〳㘸㘷㈱㄰摡敥ㅥ㔵㥤㜲㕡㔹搲㑥㔹㈵㝦㍥㌳㉦慣戹㜹ㅦ㜹搰㤰搹㉣户戶攵搱捦㐱㤶扥㤱㘰㄰㈰㤷㑢㘵㌶戱㔲㈶㠷㈷愵㔱㍡㈵昰㜲㠳㈰㘷扢〶㕥敥㌵昷㔹㘵㕦〴㐲戹摦〴㐶〲慤㈶搱搷㐷ㄲ㜵㡤㘲愰㌰㌶㤹攳愰㔲挳㜲晣愵㍡摦戶㜰㐹㐰㐴敢戲㘰捤挹〲㡡㠲㐶㜹㤰挰㙢㈰㥡㈶㘹㤰㕣㌹㐶㐴㘴㠳〴捤㡥㥥ㅢ㠹㡣昵ㄳ㘴〴敡挷㠹㤰戵户户㤷ㄱ㈴昶㔶㈲㘵愳戶晣戸㉥捤㤶戳攵〳㘹戶ㄹㅢ愷㙦㈱㌸㤷攰㍣㠲慤〰捡摦㈰攱㈸攵㤰㙥㝣昴ぢ昰慥㕦㐸㜰ㄱ〰攴㤳㑥㤹ㄳ㡡㉡摡㔰慢戱㈳㔹慦て㜶戲㌴㡡〳㔱㐴换戸㘶㘷昶搹ㄲ搱愱搵戹㌶㜴㙤㕡敡搸慢摡搳㘶㝣㌹愴挸㠴慡昱戵慥㔰㌵扥ㄱ慣摡愱摥扡〴㑤昵㈱㠲㑢〱〲挵㐲㘳㜷㜵搶㍣捤挹㡦㠴㐹ㄴㄸ㐲ㅤ㉡昷㤰㠸㘹晥㈷〸戸㤶愳换扡晤㑣㔳㜰搸晣挸摢捦摢摡昳㜶㠸昴㈶㥤戹慥㜳攸㉢㝡㡦ㄶ昴㘵㘰㉦攵㑦㙤昵换ㄵ㈸搶慦㈴戸ち愰㐹扦昰攴晤㕥扤〴搲㈴戶㘳㤸摢㐸㡦㡢戴㜰㘷㤶ㄶ㠴搴㍥扤收㡣攱捥〹ㅦ摥㡢挹〹搸挱ㄵ搷ㄵ㘵ㅣ㘸㑢㌲㠳㘷㤷㜳ㅢ㌳扤㝤㙥挵㘶晥扡㝤散㝤㈴ㄴ㐳㍡慤㜶愵㥡散攳〴㍢㌳收㙦㡡㔱づ昵敦つ敤㠵㐴慣㔱㈳㜹戱㕤昲搹㜲㕤㤲㜴㈰㐹慥挱戶敡搷〲㐰㑡㈸㙦戴㤵㈸挳慣戶㑤㔶㙢戴㔶改摤㑢㌸㤹㌴昹て㕢攴㐸㑦攰慣ㅤ㠳敦挰敢戳愷㉤扢㈶㉣㝡散㈹攱ㄶ攱㔷戰捡㈲ㄷ戸㘴㈹㙡搶㘵挵㐷㐴㔶㜴㜵戵㥣愵ㄳ㝣㙢㤲㑥㥡愴㐴㈲户㈷ㄶ㈶㥣挳敢㐴㐵ㄷ㈴㠵㑡㠲㕢愸㈶㠱㐸㜹慣扢㉥㘲㍡㄰㌱㜹㙣㥣㝥㍤挱㜶㠲ㄱ〰敤昷㤰㌴慢摤㜸㠶挲扡ㄷ改捥㉥ㄴ㔲㔹愲㐱扡〷㕦㙢㉢慣㜶㜲㤸㕤〴㌷〲㌴㤹㍦㜴㍥㈶㄰愲㐴㜹㡣㄰㘹㉤改收㜱㑢㥣㈲つ㙣㌰ㄱ㔴ㅡ慦㝡㝥挵㘶㔴愹捦㥣愸ㅣ慥昸ㄳ㤶户㠰㈸搴愰ㄹ㈶敥㥡ㄷづ愸换㠵敤搳㤴㔷㔹㔸㄰㈵摤㥣慥㔴㈱摡㈶㈷搶挲愱ㅣ敢㠳㉤㈹捦攵慡㠲愷戳戳㌱扡㔰攴㠹ㄸ扥㔶㝡㘲㔷攵昹收愱慦扦扥愳㌳㤶㕦ㄶ㍤㘶挰㜴㑣㘷㑤散㈲愲〶愵㙥㜳㘶摥ㄵ㘲愲捦摣敦㕡愵戲攵〸㈲〳㌶㈶〳㜵〷挵ㅣ㈲〴㔳ㄵ挶晦㉡㑥㥦㌹攳ㅡ㡥户㘰㌰㤸戸戴戱攱㑤㠶㐴㌴㜳捣㜲㍣っ㈳戱挸㜴扦㌹㍤㕦㌹㠵㘸㙤搵㜶昶ㅢぢ摥㥡挰ち㠹㍥㜸㈴㙡ㄴ㔵㔱㔵㈵慢㘶㍢挵てて攴愹搴づ晣搲〴ㄲ㔷㈹㡤晥昲〴敤㑤扢㍥㡣捦搰㑥攷㥣㝡ㄱ㌹慡㘵㜶㈵㑡㘱㜲慡㝥㌳摢摣〲㜰晢晥㘳㤳昵愸摣晢㡡㔷㙢昴昰㈷挸㜸㐹ㄶ戵㈰〸晤㜳ㅢ〲㔲㘱ㅥ㈹〷ㅣ〸㡣昳慤㤹晣㜲愶慣㐳敡摢㔰㑦敥㐳ㄴ愹搷㍣㘸捣㡡㌲㘲搱戶攱㙦〸㕥㘸挶摡㐶搹ぢ换挶㉢戶㙤㤰戴㐸㤶搳㐵㠳ㄴ㍣㕡昵㉢㠷㉣㐷㌷〱㈴晤㠵㔹挶㘹㘴ㄹ愷㘵㔶慦㜹㤴㘱㐱㤹㘶㕦㤵㌹挳戵晣㜹摢㉡㘶昹挲搰摤㥡愰㐹㌰㌹㈵㙦昴㐴㌲㘳愸挹㥡㍦〶㤳捤换〳摤㜹挸㔱㙥ㅤ搱て捡㔵㤵っ晥㈸ㅤ㍡㤶㈰㘰愴㤷㔴扦ㄵ扤㘹昲㘶〴㐴㡥㝣捥㐶昷㉦捥㍥㠴㥣挰㉦㐷慣㈷㤰〸㍣㠲㌱㈱㑦昷㜶挶㍣收㔸㍥戰㐷㡣敤戳晣〹て㈸〷㐰㔲ㅥ㙦捦㤷㔸㡤㌵ㅡ慥㘹㠵㑢㕡㡢ㅡ搴挴挵慤攵㜱扤㜱挵㌲挵㠱㐶㠹㈹㤲㤵㉡㐹捤戲捣ㅣ搷㤲慡㔱愴攲㡥戴㡤㤲攴㌶慤敦㍢愵挸晢㔰㑣㤲㘶㔲晡㙥㐹㈸〸昲㤲㍡愰愳攸慦㑦㈶㡦㔸戴㠶㌶㐰㡥㝡㉡挸敢ぢ挳㠱㤳戸㜲㔲ㄲ戹昰つ晣扤㈱㑣ㅥ愹晡つ㈵挶改挱戰㘴戴㕣㍥攲挰㑡㈸ㅡ㙥㘹㡤戰㌴搶ㄶ㘸ㄸ挹㥤㥤㙡晦㘰㝢㘳㡣ㄸ戲㈱㐳㈲〹㝥㘰戰㈱㤸㉢ㄶ㑤愵㜵搶挷慤慥㘵㘷昹㜶㐸ㄸ㡥挴挰戴㕦㥡㄰㡢搲っ慢㕢昲㠳戲㐱敤戴㈸攵愸㙥㡥捥㝡㔰改㍥攵㜸㤸㤲っ慥㥢㐷改㤶挲〵〶㠸摤㌰㌵㔵昴ㄱ搶慤㜵挰㤳挱摡挱づ㜶㈴〸㥢搰㍡愳〴捤㈴㄰㙥攳㈲挸㍢ㅤ㘲ㄴ㠲搴㤴捦扦昶㈸㑦㍦挵攷㐷㝢㔲㔱㈲㘴㈲㠶扡ㄲ慣〷㈰㌷ㅥ㤵㈴ㄷつ㐶挱昲㐰戲㐹愱搵ㅢ攵搱挴攸愳挹攷晡戸挱挳㌸㔶㍦搹愶㡣㍢㙥扥〵㙤㕡㕥摡㘰㑥㍡挵㜲戵㈴愴㉡㡥㘴戵搴挸㙢〲㕦昲晡㕦挰㑤〹晢ㄲ㙥捡㈴㡥㔲㕣㌲㤱搴戹摤慤㝦〲捤愵㤰㐳ㅦ㠱㙣㘳昰㌱挱㉤㈷㠳㘱㉤㜷ㄴ㘸ㅦ㙥慣㕦㕥㤰ㄷ攷㈰搲㕡戲㈸换づ攲㉥㕥㉤㠲㉣戹㉤㔶敤㘰攵㘰㠵㌶㝢㉣敢㠰ㄵ㘴慤〹ㅣ㘱㥤㠱挰换㘴㘰㡣㜴挸ㅤ散㈴㜵㌶㡣散㥥㝤㐸扥愶捥敥〹㡤て㠵昱㕤㥥㠲㔲搸㔵㌰ㄲつ㙥戵㙥㜵㉢㡣晣搲昲搶㙦〳㔰ㄸ〲愶㐱㡢㥡㠱㠱㌳㠶昴捡〶づ㠳㤱〹搱搱㜸㈰㤵㌱捡㐱㌸散㠱㌴㜰ㄳて搲㌳ㄵ㈸㈱㝦㤳扣ㄴㄶ摤㑢ㅣ戶㜱〴慡戸㕢㥡㌲愷っㅦ㔷㕦㥣慤㑤搹愳愵ㄲ捤㕤昸攷搶〴㔶㜱㙤㈳㌰㐷㌷㌵㕤挸㤲㙢愲㝤㜷㜹㔳㐱㜸㔱㜰挷㐴晥㠰攱ㄷ攷愷晤愵攰搲㔶愷㈴愱晤ㄲ晥㠸㘵㐷愷捤㥣㜶㜸〹㜵㤱㝢㥦㍢改㔴㑥㌹㜲㕥㥡挷ㅢ㝦戴㘲昵敥㙥㑥㌲㤷㝡ㄷ㝦攴愳愶戴㔷搰攳㙡愶捤づ敡づㄲ昶㈳㥦㐰ㅡっ㈱㥤㐰㈷戰摤㙢㌷〶㐸㈷㥢㥡攸㐴ち㠲㜵㐲㜱收㍥㌰㐲㔱㝥〱戴㤲㔸㠲㈳㌹昶晣㜹戰扥昲㜳攴㄰攱㜸て挵㠸㜶㈹㔲〹愸㤳㠲㍣扣摥挱换㈰晦㍦㔸㡡戸㜹㔹㜶晡㉦㌰戳昲㜲㌳㡡㉥㈶㡡㕥㙡㐵ㄱ〳戱敦㈹攴捤搹慦ㅦ㌵㍦昴㙢扤晦挳愳收敤挰㌰ㅦ㘹㡤㈱愸挶㘰㝣捤ㄸ攸㙡㌱〶慥㐴戱㌴〶敥㘰ㅢ挶敢〳㘳㈰昴㜶ㅣ㐲挶捡挶〰愳㜸〹㈶㕦㉣愸ㅡ㜳㘰昰慣戵挵愶㈷散〰慥搷ちて㤱㝢愸㈷㙦ㅣ扥愷㜳㕢戳愷っ搷戰户捡晣晤慥㠰摡㜲㘷㜰㕦㕢㌶㘱㡢昳㤷㉤㤱㡤㤶昱㑡㐴晥昴㜵捦挹敡㙥愹〳㔳挱ㄳ㌸敡㤵慣㤲㜹ㅦ㍥ㄱ㠵㈷㠴搴㘷㌶晤㘴晦㥦ㅦ㜸㘴て敦愵㠵戴慡㌱㄰摣㐹㜰㥥㤶〳挲户戱㉢㈱㥢昹昹捤㈱㝣㠸㘴㉤㤴挵㤸攱㑡㝢挷搳敤㈸ㄹ㄰㕥㡣㌰〳攲㕢ぢ挶㈴㙥㌸〴挶㘴扥挹戱㈹㍦㕦㤲捥挰㝣㙣攲搲㝢ㄷ〵〸㤵戶㉡慢㐳扢㔲晢㈹㤴捥㝢㥣㐸愳㍤挸昳㈵ㅦ㐵㜹愱㔹慢敤愲㔶㤳㘶愲㌲㡣ㅡ㤱㤴㐲愴㠱ㄴㄲ㍦戲㌰昴㉦愵搴ㄴㄲ㕡ㅥ㈰㈱㠶搶ㅣ捣攵挹㝦㕤〸㠸摡昵扥づ㍦㔵挱㉥〲㡢㤱搷扤搳戳㉢慤捥㐸㌵㌱㈸㉢㑦ㅦ㜷㈲㈱㡦㈹捣㘰㤴㔶收ㅥ㐵㈲㝡戴ㄱ愴㔶敤㜸攲㈰㝤㜶㄰㘲ぢㄸ㕢戳改㔵换搹㝢㥤㉡敥㜸㐰捦㘴愴挲㜰㌶㌲ㅢ㐷㑦ㄹ㡤ぢ慡收㠲㉣挲晥㈰㔹㙢搴ㄳㄶ㐱㘷㌹㕢㜱晥㐴㤸㡦摦〳戱㝣戸摥昵收收ㄲ敡㌸愷ㅢぢ攴て昶搷挵〹㡣㡤㔱挹㌱㤰戰慢慡㤵つ㉥㠱㑦愳㠹戴攷ㄵ扤㥥攴㔸㡡挲㘸㜴挴㔹㕤㙡㡢晥㘷㥣㕡㜲搶っ㙢㌳㘰摤愰晦㡦㈳㘳㐵晤慦㌰捡㈶㔱㜶㔷㤸攰㡢挶㐸挹㡡挱ㄹ敥〸㝣搸〸搳挸㈳戰㉥㤳っ㙥〷愹㘹㝣愲ㅡㄴ㑢〹づて㔷扡昹ㄲ㐴慤㉤㙤摢㥥戶〲㤰㔱㈰敤㠷㄰㐱㙤摢㜳搲慤攷搸捣摤挸摥㜴挸㉡扡ㄵ慦㘲晡㐳搳〸敦づ昱ぢ㌳ㄳ㌶捦愸昲㝣戳㔰扢ㅣ㍢搱㝢て摡ㅣ㍥〲㠱㝤㔸昸ㅦ㔴搴㤱㌱㠴搵挵㉣昸戵搱㐰㉣㤰㐴敤攰㥤㘳摥㔹㌵捡昸㐰昵〸扣㥡㍥戳搶㠴戲ぢ㝣换捤㜷㌱戸㜵戸㡤㜵〷㍣㍦愲㥣㐷ㄸ㑣㉥攱㥥㝢戹慦捤㝢搰㔸㌷㕣㥢挷㥡㥤㜹搷㜲摡て㠰搳搵㡤搲㐸㌲ㅣ㤳摦ㅤ攷昴㝢〹ㄱ攷愱㜷㜴昵慥㔸昶㌶〸㍡て㍦摢愶换㙢戸っ㐷搹㉡攲摣㥦㐶㔳攵㌶〲晣昴㐲㤸攰㡢㐲㝦摥慤㑣㍣㡢㘵㤱〱㤰㑥㘵っ㠰昶㔴晤摤攵愸㕡攱搱㠲㔴㤸㔳扥㠳㜲敥㔲戰摡ㄲ昳㜰搴㤰㐷〸愴昵戸攴㔶㜸㠴㤰攳㍦㡤〶戵昱攷㤰摢㝥晣㙦㉤㍢㍥㤵扦㕣㕦扣晦㠱㐸㜹攸㈷㌸昴㐹㠲㌲㠱つ㌰㄰搵散愷㔸愴慣挹〴㐱㠴㤷昷㈰㡤攷て攱扦㙦敥㜹敤㔵㍥晦摣愳㐸㐱㠸愲挶㔵㔰㄰捡㔵㍣ㄱ㕦挵〲㜲摢慦攲敢换慤㘲㠰㌲㤲㌳搱㕤㠰扥㉥㠵戴㈲㔷攵㈱挱つ攵㑦㤱〸㐵愲㘱ㄶ〳㐴慣㙣㕢㐵〲㙤戹昳戲敤㈲ㄲ㔱㕢㡤ㅢ㤱昰〹㡦戴㡦㜸攵㤱㕥㥢㑣攰㜶捤〴㕡㌱㙢㠷晥搶㌵㈱ㅢ戰㈴㝥ㄳ摢㔶愴㘷㍡㡣攵㉢㡦㐷㠸㌹㜰㈰晡㍥㑡つ愳㑢㈰㡣挰㈲㈵㈱㜱㈳㤵㉦㐵㤵㕦㜸戱敥ㅣ㐵〱ㅥ㔰㑦㔰㤹〴㈷㉢㍦ㄶ㔵摥㠱㙦慦㘴㥤ㄴ敦ち昰㜹㌳慡㑣挲㤴㤵ㅦ㡤㉡晦㘳挷搶㕡攵㠸づ㠳㥥㌵ㄲ㐹㠲慤㉢慤晦搸㜷搸㍣㔴㙢㈶昵㘷㡦ㄹ㘴㔳㜲捡㈰㜱㔹㙡搰㕥㕣晢㜰昱㈵昴㐱摣㘲挲㘵て〸搹攰㍦㐴㤸挴敤愶〹挳㌷昰愱昳㈲挲捡慥㉥摦搸㌸㘳ㅥ㜱㤱搱㙤㑥㝡㌸㔳㤵搶ㄴ㠹挰ㅣ㐸〷晢扢㠲晢㍤挱㜴慣敦㐷ㄴづ㔳㜹㕢愴㌳攵㈱㐳㈸㘹攵㤱〸戳愹㌳㜵㥡搱㍦ぢ攴㐰㑣〲㌲愱㝦づ㌰〸戹㙣㘲挶〰昹㕦㌲昷ㄹ㈴昴㠷〹㍥て㤰㔳挸散愴㠳捣ㄷ〰晡愳晦㡥㘲㘸㔱晡㑢㔴攵挱㘸戰㌸ㄹ改㕦㘴㠳㐷〱扡攰愸㔵㐲㈲捣改㡦㈱㈷㍥㈸〵㠷ㅣ昴㜱ㄶ㝣㤹攰㉢〰㌹㡤㤳㕤昵慥㜱㑤ㅤ㙡慥慦愲愹挲慤㤰㜲散㙢㘱㠲㉦摡ㄹ㠰㕢摢摢捡㍣ち㐷㥦敦㈳愸搹昰㥤晥㕥㝣㜷扦挴㐵㜷攱扦ㅤ搱愴㘱㥦㔶㍦搶㔹㕦㘴〲摡攴昲攷㘲戳摦㐷㍦㕣㔷摤挶㘴㡦ㅦ挷㉦慢㘶㤴㠷昱敦ㄹ晣㤴晢㌱〲㐷愱愶捤挲捤㐲ㅡ㤰〵ぢ㘱〱㔵㤶晥〴㠰㐲ㅣㄳ㑦晡㤳㝣㈳㙡搹扦晥㡤㌰挱ㄷ㠵㜸㍤挳㐴㌹㙣ㅥつ㐸㕣换㠲㤳㑤〳ㄲ晦戲攰㐴㝣挰㙦㈲㔷㤱挸㐲愲㔱㉢ㄱ㘹㘹收㍥〵搰搷搵捦戹㔱换愹愷㤵攲㝤愵晢敥㝢扢㍦㍤㜴㝥晡㤳户昵㍥昵收敦摥㝡昲昵㑦敤晥晢㍢捦㍣昳晡㕦㥥㝣昵㥤㔷㘶㜷晦收戹攷㝥㝤晢昷㕥㝤㙢愳昹慣晡攲摢〷㥦㝤㜰攴攴㠳昷㥢挷慥摢晦攰摤㈷敥ㅣ㤹㍡㘷戸慢慢扢晢敡挱摦㥥㜷捤挰㤹晢㕦㔲㝥昵挷㜳ㅤ㐵㉥㤷〳ㅥ〵㠸㥥〱㉥㕢㑥攳摢㐸㘰ㅡ㥣昱㠷㍡つ㉥昷っ㝥㑡㈹摣愸㌱扣㘴攱搳攰〴㘴㐱戱戱愰攷㍦散㜱戱㥥</t>
  </si>
  <si>
    <t>2025 Sales</t>
  </si>
  <si>
    <t>2028 Value Multiple</t>
  </si>
  <si>
    <t>2031 Value Multiple</t>
  </si>
  <si>
    <t>2034 Value Multiple</t>
  </si>
  <si>
    <t>㜸〱捤㔹㝤㙣ㅣ㐷ㄵ摦搹晢昰慤㝤㑥㡥㝣㈷㑤摢㙢㥡㐲愹㤳慢敤搸㙤摡㄰挵昶㕤散㤸㈴昶挵扥㌸㔰㠹㕥搶㜷㜳扥㡤㙦㜷慦扢㝢晥㐸㔱㠱㤰㐰㕢㕡搴㉡㔰㕡戵〵㐴ぢ㙡㉢ㄱ〱㐲㉡つ㔲㕢㠱挴㍦㠰挴㍦ㄱ〵㈱㈰〲愵㠲ㄶ㈱挱㍦晣㠱〸敦㌷扢㘷摦挷㥥㥢㠴㈰㘵㤳ㅤ捦扣㌷昳收敤㙦摥扣昷㘶㑥㘲㤲㈴㕤愶〷㝦昱〴㔱搹㍡戹㘸㍢㕣㑦㈴捤㔲㠹攷ㅣ捤㌴散挴愰㘵愹㡢㠷㌴摢〹㔰㠷㜰㔶㈳扥ㅤ捡摡摡㐹ㅥ挹捥㜱换愶㑥㈱㐹㡡㐴ㄴㄹ㔲扣㌷㔶㙤㈸ㄸ愵㠰慣㔰㉦㐹〹㔳ㄱ㙤愳㈲㤳ㅣㅡ㥦㍥㐱㤳㑣㍡愶挵㜷挴愷㕣㔱㝢㝢㝡ㄲ㍤㠹晥敥扥㝢ㄲ摤㍢攲挹㑡挹愹㔸㝣慦挱㉢㡥愵㤶㜶挴搳㤵改㤲㤶㍢挸ㄷ㌳收㉣㌷昶昲改敥㕤搳㙡摦敥㥥扥晥晥挲㝤昷敤㡥㐶㐸㜲㍡㌹㜴㠰㤷捡㈴敦㝡㐹㔵㐸敡㔸㜲㈸㙤昱挲昵㤲ㄹ〲㉥㍤㈹㥥搳〰㈰攷㤶㘶捣㈴㤲㐳昴扦〶ㄵ㙡摤㥢ㄸ㥦㥣攴㠶慤㌹摡㥣收㉣ちっ昵昱摣昴㤴㕡慡昰戰㉥㔴㡡攸㔳慡㌵愶敡扣㔳㍦㙡昳〹搵㤸攱㘸㠵昴㤱㡡㤶て搲挲〶㍥敡㌷㤱〷㔲㘲㍣㌹㤴㉣慡㤶㈳㐴〲挰扢晤㝡㡢㤹ㄲ㌵慡㠸㌱㠲ち㜸㔸㠷㘷㍡㤸ㄳ敢慢戴愳攸愰㈲ㅣ愵㘲㙤捤挸戸ㄸㅡ摦挵㠲晦㈴〳慣ㅤ㠸敥㜲㔶㤵戳搳㜲㌶㈷㘷昳㜲㤶换搹㠲㥣㥤㤱戳㐵㌹慢挹搹ㄳ㜲㜶㤶晡㔴㥦㐸㕢㥢散㍤晦㜹攷攷晣挹㑢ㅢ㠶捥扣昱改㠷㡦挷搲㡦㌱搸㥣㌰扥㔵㔴㔱㔶㔳ㄱ㡥㔱攱愳㐸㉦㘳㝦㈷㐵愰捣散㔷㉦㝥昸㈱攳扢愳㙦晤晢㝣敦戹㝦摤摤挵〰戸㤰戲〶㔲搶㐲捡㍡㝦㈹㝤㡣扤攷㐹㔹㜳摢摢扦㍦戴晥晣攰户搷摦㜱昹扤㥦摡㝦㘵戰㝡㈱㘵〳愴㙣㠴㤴㑤晥㔲㝡ㄸ㝢搷㤳ㄲ戹㌴昲晣捥昰晡㐳㡦摥戲攷昸㙢㤱户戲搱㉤㌴㘴㡣㔶㉢㌱挶㥤敢㘴摡㈱慣搲㤵㕢〷㔶㌲愴扢挶㤵攲㜶㑥㠱攵㡤ㅡ㜹扥㄰愶ㅡ㔹㘴㔴㑦㥡㠶挳ㄷ㥣㤴敡愸㙤㝡㕡戵戸攱㈸搴愹㑢㡣㜲㙢ㄸ搹㈹㘸搵搱敤㕥㡢㈴挴㐴戵㐶㑡㠷㈰戸㤲ㄸ㌹愹㐰搰㉤㈳㘱㍦㙦㜵㐰戵㡢㡥㍡㕤攲摢ㅢ㡣ㄸ戸搱扥㌹敡㘸㈵㍢㐱㈲㐷㉣戳㔲〶愲搷㑤づ挹㔲〰㔰㜸㉢ㄵ挲户攲㉦㑤㌰愰摣㑣㝦摡〵㔳〱㤳ㄶ昸㌲㌸换扣攸㙤搴㈰ㄵ㔳愶慥㙡挶㜵㕡摣攸㌶ㄲ㝡挴摢㤷㈹㑢㥤㈷ㅦ戳㉣扡㌷搱㡤㝦ㅦ散㘴挹挷ㄶ晡ぢ昷ㄶ㝡㝡昲晤摤敡㉥㌵㠴㕤㝡戵㍥〲㥢㈶慡ㅦ搳㡣扣㌹㉦㥣挶ㅡ㥤㍣㠲㜰〴㤹挵㌲ㄷ愴㘸㈱愳㕡㌳㥣ㅣ㤱㌵㥡㕡㔷㐸㥡㤶挵㑢慡挳昳㠲㠰㄰戴戱㥥㘸て㕢愶づ晡搶㈱搵收换づ愹慢攰㑥㌴㘴㔶㡣扣㝤㤳㍦㜳搲㈱搱㕢ㅡ㜹换㐲㥡㠶㑤㤲㤳收戶搰昴㤶挶㘱挲昸〷ㄷ㌴㤷㝤㜳〳㥢摣戴㌹摤㥡㍢㙣昱㠷㤶戸㑤ㅡつ㔲ㅣ㥥攳攰㌷㝤愵换㜲昵㈲愷㙡摡摣㄰敡㜵改㘹㉤㌷换慤㐹㡥㈸捥昳攲㔳搷㠳挵㘹㍦收戸摤㌵づ攸㈹㑥攴户搵㔲ぢ晢ㄷㅣ㑥扢㌹㑦晡㔲晣㜴ㄶ㌳搸㐹ㅢ敡扡戸㜳ㄲ㘳㜳ㅤ㜹搸捣㔵㙣散㕡换㉣搵㜳〶昳㜳㉡捤㤹㍦㙣收㜹㌰㈸〷㈸㐷〸攲㤱㈸㉥〵㘸㉢㜷㌷㙣㔴ㄱ〴㈱摢慥㡤㌶㌵㤶㠳㜰戳敢㡡〶搵㥢ㄷ挶昹戹㡣愵〴㠷㙤慡摦㉢㠹〹㐲㡦㔰㉡㜱㙣㈴戹搱愳搴㈸扡㙣㌵㤸挴搷㥦扡㕦㔴㠳ㄹ散ㄶ扤敦㙣晤㈹㐲散㤲㘵晣㝦㍢换昲㕡敦敢昷捦㤱捦㍥愰ㅡ昹ㄲ户㔶挶ぢㅡ㈹户愳搸㡥攲づ㉡摡愵搰㙦挹扢戵㐴ㄲ㔱㤹㉤戰挵搰扣㤶㜷㡡攱㈲搷㘶㡡づ搱㈸㠱㡣㐴〰㜳㥦昷㝥㡣㌲挸ㅣ扤㑣昹〸㔱㤴㍢愹㘸㙦㙦㤷㠴晦っ户㉢㜷㠹戶挴㄰摣㐵愶㠱搸摥散㕣㜷㠲慤慣挰㘳㐸っ攰搰㤴ㅥㄴ扤㈸㜶㔱搱㉥戱㕦搰㜷攰㕢㄰㈴昰㔶㌵㤲㤴㝥昴扡〷扤㙡㌴摡㉤摡ㄲ㐳愲㈰㌴㠲换㙢搶㘸て搸捡ち㍣㠶㈴㐳㘸戴て〲〶㔰っ㔲㐱ㅡ扤改㘹㌴㐶㑤扣换ㅡ㈵搱㉢㠵㕥㌵ㅡつ㡢戶挴㤰㜴〸㡤㤰㜳㌴㙢㌴ち戶戲〲㡦㈱㘱ㄱㅡㅤ㠶〰捣慣㡣㘳㤰挴扥攷㘹昴〲㌵昱㔶㌵㘲捡ㄱ昴㥡㐰慦ㅡ㡤㌲愲㉤〵ㄱて晤㑣㙢㈹㝡㈳㠳㙣㍦㘴慡昹㘱㌵㐷攷㠳㌶敦㜴㄰㐹㥡㝡㤹㜲ち㉢㠶㥥㐹昲㈸攴愹收戴㍣户㈲㈰㑣搲愱㈴㐸㠷〳㍢㉣晣戱㑤挹㐲㐰ち㠵㍡㈲㝥㜳㡤㔶㘵㙤昷散扥昶搰㌳摡㈴晦晤㈳扢昷㤱㌹搲攷㠸㐴敥㈸㔵㤵㈹㉡㐲戰晦慢昶㘱戰扡つ晡㘴搱㥣㍦㐰ㅢ㠰摢㙥昲㙤㈷㉤捤搹搸㑣愶攴㐷搵㌷ぢ晡㠸挵㈹㙣㔹ㄹ昲摥攲ㅢ㌱㘲㡢㉦㐷っ摡㈲㕣㐸㡤昳散㉡㑣㘹㝣ㅥ㈱昷搶㘶ㄶ㥤ㅥ㤲ㄵ摢㌱㐵慥㜶㑢㌳㍦㘵㡥㤹㑥㑡戳换㈵㜵㜱扢て摢攵ㅣ㉢㜲㠳㈲㡥㐵㠱攷㠳㍡㤹攵㌲捦晢攸㌸㘹㔶慣ㅣㅦ㑤摤〸㌱㡢㔶捡㝤㤸〸㔷㉣挲挲㌲愳攷摡摣㈵摢っ㘱て慦㍢㌷㜲昱攴改㝤㘱ち㠲㡣㌶〸㙤㤱㄰㕣攸戵㠶戵捥扡㘴㙡㍤㡥㠱㠷改攸慣㤵㑢㝣㐸戵挸戰㑤换㔶昴㙡搵㌵扣㥡〳㤹扢㕢㙥〴戰㈹㌷㜰戳㠲㐴敢愸㔸愳戸戰㐱ㄸ㌳㈲ㄱ㕢搷㄰扥挵㜷㈳愶㕣攳㕡㠵㕥㈵敦㜶㤵㡡攰ㄶ愵㙤づ㐷愱㙣㔶㡡㐰㉤㍣㉣昴ち㠹昲搵て〱㌱㘸攰戸㉥㐶戵捦ㅡ收扣㈱㌴て搹挸㔰㈱㔰㘹㙢挳㘷挰㠷㡢愷扦㙡㌶㔲〸㌱户换て㉢昷㈴戱㜴㥦㌰㥡愷愰敥㕤㈰㐴㜱㠱㤰戱戸戸㈵㠸㠸〶㐱搸愹ㅦ㌳慤搹㘹搳㥣挵昹㙥㤵㘸搹㐵捥ㅤ㥣攸㍢㜴昷㕡〲㜵戲晤㐰愰敥搴敥攱づ㈶捥㌱㙥㡣㝥㠰㙡㠱㘱㉢㈷㕡散㘵晡㝥ㅣ戰㝦昷换㡢慦捣敥㍦㜵昰㤹㥥㑢愷晦㤴㜸晤〲㝢挹㘳扣晦散㥥搸换㕤㕢て㍥戱㘹敥㜵敤㔷㤹捤㈱㠴晤㉢㑡戹㄰摤㔷ㄷ㤶㝣㔷㐶㜳㑡扣愳攰㥡〶敡㤱〲㜹㈳㑡㠷昳㙤㠵㑣㤱扥㍡搵㔹ㄸ戱戴㝣㐹㌳㌸㑣㠷づㅡ戸晤㌸挴㘷㈸昵㑤㥢戸㘹㌱㡤捥㐲挶㔲つㅢ戱挶挸㉤慥愹㙢㠹摤ㄲ㉡っ㘹㠶㑤搳〸㝦㠹晡敡〲摣㌹慤㕣㐵㌷㐶搴戲㝤㈳㙣㈷戲㤳敡攳㍡㉦㤹挹㌲㡢挸㤱㙢摣ㄱ㔲昸㐱㤲㜷㝢捤づ扣㍦㍥㤶㥥㡡㔳慣㈱昳㡡搳搵㔳摥搴攳挷搴搲㉣攵换戲昰㜵㌲㔲㉡㈴〱攴攲㤰挴㕤㜹㜲っ摤愳攲㠶换㍢戵〴晣挲昸㔲昶㉥㤲搱㉣㡤㘱㜷愱愰㔷㌹敥㔵搰㘰㐸〵㤱㜷㌴〴㜲㤵㐸捡㌴㍡㈰〱㐴㌰㙦改愲ㄹ㍥〵㙥㥡扤㐸㐶ぢ攷㐰㜵㠹戱ㄷ愸㠶晤敤戳㍦ㄹ㜲㐹散㔱戱ぢㄴ散〹㜷㍦㍣㑢晤㝤昷挳搷㍣挶㥢昱㠸㝣攱㠷㤷て扣戱晡昹愲㜵攱㤱ㄳっ㐹㈷昶㠴ㄴ㍥㐱挵㑤慤搶㘰㜴㈲敤㠷㍤㐳扡ち晣ㄵ㕡ㅡ㠹㈱㔹ㄵ㄰㤵扣㡡㠰〸戹愹て㐴㍡㤱ㄵ〳ㅤ㤱㤱慥っ搱〰昵㄰㄰㍤㑤摦戱っ搱㔳搴㙡〵搱㈰つ昱㠳攸㠹㔶㄰㝤挹㘳晣昹ㅦ扦ㄹ攸晢搹昹搴㌷㘷愳敦㙣昸昵挵扦戱㈴㐹㜲㈱㥡愳摡搶㔶㄰㑤愴搳晥ㄸ愵㘸㤴挰㘸㥥㉡っ改戳挰㘸挱慢〸㡣㤰㉤晢㘰戴㐸㘴攵㈴㍡㈲㐷㕥ㄹ㈳㈴搰〲愳㌳㜵ㄸ㥤㕥〱㈳愴摢㝥ㄸ㝤戶ㄵ㐶㥦昱ㄸ㥦㝢晡挴て捡て㤴㠷捦㥥晤挹㤷扦昲挷㠹慤っ㜹戹㡢搱㈹愸搱㡣㤱㘵攲㔶㍥㥥愶晢昳㌲㔵攸敥挱搷㥥㤰摡ぢ慣㍥㑦ㄵ㠶挴㕥㘰㜵摡慢愰ㄱ㐳㤲㉣搳ㅢ㍥㐳挵㠷㤲㐳㔹㌷㠸㔴㘳㔱昸ぢ㐴㕥㐵攴㥡㔳㜱っ㌹㌵挶㈸㕦㐴㠱㔳〷ㄳ㥢ㅡ慤挷愸愸㍥戱攳㔴ぢ搲慢㍣㑥㐵㘷㈰愶搲ㅦ㌱㄰㤳㈹㄰ㅤ㥢慥㤲㥥〴〹㌹㌷ㄳ搶㡦㔶㥤㉣散〲㈱敢㈹慡㤰㉣㔸㝣㠳㉣搸扦㈰㥤愵㡡戸〸㘶挲㑡搰慡㤳〵㙢ㄱ戲㥥愱ち挹㠲㘵㌴挸㠲㥤〸搲㜳㔴ㄱ搷挱㑣愰㠸㔶㥤㉣愰㈹㘴攱㙣搵ㄹ㘰挰〴㘶㄰㝥ㄱ敤挱㔲㈹㕥㡤搹㜶昸敢㈰搵摤攵㠷扦㐱愴慥捣扣㘶搰慦㉢㍣㕥㔰愹㝦㙦㜷㙦㕦㝣㕥㜳㡡㘶挵㠹ㅦ挶㕤㙤㍣愹㕡㈵㌳戱㔰戲ㄷ搸㜱捦㙡摥㝥昷戹㥤㍦晥搴㜷づ㥥晢挳挵㙦㍤摡㜹敡㍣换㝡㡣挶㕢昶㔸㔵摤㄰㔶㘱㡦㕦㈲搲㜴昱搱搵㜸换戴㥦㙥㡤ㄶ㠱㐷㠰捥㙥㈱ㄱ㕥㠳昲晤搷㈶慢㥡っ㉡㈴㉥昴㈰㘹晤㍦挸㠱つ搷攷㜲户ㄲ㐵㜹㠹ち〶㡢挲㑡㈸㔸〹〵搸㉢㐰㥢㝤戲ㄵ㠲㥦昰ㄸ㑤扦㌰挰攴〰ㅥ㍢㐶㍤愰戱㤸攴㌵㔰㘰㙡㝥㤳㑣戴㥡攴㠸挷㘸晡〱〲戶㈸㈶㐹搷㑥昲㝤㑣〲ㅢ昴㥢攴㘰慢㐹㍥敥㌱ㅡ㝦㥦㘰㌰㔲㌱挹㘸敤㈴㍦㈲㙡〸㤸㌵愶扦㌸慤て㘳搹ㅢ敥㠲㍡㍡戶ㄱ昱搵㝤㝦ㄹ㜸㘴攰昱㐱〶㈴㌰㝣㠹〰慤敢〸㤸愱㤶搰昱㕦昴㜴㠲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</si>
</sst>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MXN]\ #,##0"/>
    <numFmt numFmtId="165" formatCode="0.000%"/>
    <numFmt numFmtId="166" formatCode="_(&quot;$&quot;* #,##0_);_(&quot;$&quot;* \(#,##0\);_(&quot;$&quot;* &quot;-&quot;??_);_(@_)"/>
    <numFmt numFmtId="167" formatCode="_(&quot;$&quot;* #,##0.00000000_);_(&quot;$&quot;* \(#,##0.00000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64" fontId="0" fillId="0" borderId="0" xfId="0" applyNumberFormat="1"/>
    <xf numFmtId="1" fontId="0" fillId="0" borderId="0" xfId="0" applyNumberFormat="1"/>
    <xf numFmtId="0" fontId="2" fillId="0" borderId="0" xfId="0" applyFont="1"/>
    <xf numFmtId="166" fontId="0" fillId="0" borderId="0" xfId="1" applyNumberFormat="1" applyFont="1"/>
    <xf numFmtId="0" fontId="2" fillId="0" borderId="1" xfId="0" applyFont="1" applyBorder="1"/>
    <xf numFmtId="0" fontId="0" fillId="0" borderId="2" xfId="0" applyBorder="1"/>
    <xf numFmtId="0" fontId="0" fillId="0" borderId="3" xfId="0" applyBorder="1"/>
    <xf numFmtId="0" fontId="0" fillId="0" borderId="4" xfId="0" applyBorder="1"/>
    <xf numFmtId="9" fontId="0" fillId="0" borderId="0" xfId="0" applyNumberFormat="1"/>
    <xf numFmtId="0" fontId="2" fillId="0" borderId="5" xfId="0" applyFont="1" applyBorder="1"/>
    <xf numFmtId="165" fontId="0" fillId="0" borderId="0" xfId="0" applyNumberFormat="1"/>
    <xf numFmtId="0" fontId="0" fillId="0" borderId="5" xfId="0" applyBorder="1"/>
    <xf numFmtId="9" fontId="0" fillId="0" borderId="0" xfId="2" applyFont="1" applyBorder="1"/>
    <xf numFmtId="164" fontId="2" fillId="0" borderId="0" xfId="0" applyNumberFormat="1" applyFont="1" applyAlignment="1">
      <alignment horizontal="right"/>
    </xf>
    <xf numFmtId="0" fontId="2" fillId="0" borderId="0" xfId="0" applyFont="1" applyAlignment="1">
      <alignment horizontal="right"/>
    </xf>
    <xf numFmtId="0" fontId="0" fillId="0" borderId="6" xfId="0" applyBorder="1"/>
    <xf numFmtId="0" fontId="0" fillId="0" borderId="7" xfId="0" applyBorder="1"/>
    <xf numFmtId="0" fontId="0" fillId="0" borderId="8" xfId="0" applyBorder="1"/>
    <xf numFmtId="0" fontId="0" fillId="0" borderId="0" xfId="0" quotePrefix="1"/>
    <xf numFmtId="167" fontId="0" fillId="0" borderId="0" xfId="1" applyNumberFormat="1" applyFont="1"/>
    <xf numFmtId="167" fontId="0" fillId="0" borderId="0" xfId="1" applyNumberFormat="1" applyFont="1" applyBorder="1"/>
    <xf numFmtId="2" fontId="0" fillId="0" borderId="0" xfId="0" applyNumberFormat="1"/>
    <xf numFmtId="165" fontId="0" fillId="0" borderId="5" xfId="0" applyNumberFormat="1" applyBorder="1"/>
    <xf numFmtId="1" fontId="0" fillId="0" borderId="7" xfId="0" applyNumberFormat="1" applyBorder="1"/>
    <xf numFmtId="6" fontId="0" fillId="0" borderId="0" xfId="0" applyNumberForma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defaultRowHeight="14.4" x14ac:dyDescent="0.3"/>
  <cols>
    <col min="1" max="2" width="36.6640625" customWidth="1"/>
  </cols>
  <sheetData>
    <row r="1" spans="1:3" x14ac:dyDescent="0.3">
      <c r="A1" s="3" t="s">
        <v>84</v>
      </c>
    </row>
    <row r="3" spans="1:3" x14ac:dyDescent="0.3">
      <c r="A3" t="s">
        <v>85</v>
      </c>
      <c r="B3" t="s">
        <v>86</v>
      </c>
      <c r="C3">
        <v>0</v>
      </c>
    </row>
    <row r="4" spans="1:3" x14ac:dyDescent="0.3">
      <c r="A4" t="s">
        <v>87</v>
      </c>
    </row>
    <row r="5" spans="1:3" x14ac:dyDescent="0.3">
      <c r="A5" t="s">
        <v>88</v>
      </c>
    </row>
    <row r="7" spans="1:3" x14ac:dyDescent="0.3">
      <c r="A7" s="3" t="s">
        <v>89</v>
      </c>
      <c r="B7" t="s">
        <v>90</v>
      </c>
    </row>
    <row r="8" spans="1:3" x14ac:dyDescent="0.3">
      <c r="B8">
        <v>2</v>
      </c>
    </row>
    <row r="10" spans="1:3" x14ac:dyDescent="0.3">
      <c r="A10" t="s">
        <v>91</v>
      </c>
    </row>
    <row r="11" spans="1:3" x14ac:dyDescent="0.3">
      <c r="A11" t="e">
        <f>CB_DATA_!#REF!</f>
        <v>#REF!</v>
      </c>
      <c r="B11" t="e">
        <f>Sheet1!#REF!</f>
        <v>#REF!</v>
      </c>
    </row>
    <row r="13" spans="1:3" x14ac:dyDescent="0.3">
      <c r="A13" t="s">
        <v>92</v>
      </c>
    </row>
    <row r="14" spans="1:3" x14ac:dyDescent="0.3">
      <c r="A14" t="s">
        <v>96</v>
      </c>
      <c r="B14" t="s">
        <v>99</v>
      </c>
    </row>
    <row r="16" spans="1:3" x14ac:dyDescent="0.3">
      <c r="A16" t="s">
        <v>93</v>
      </c>
    </row>
    <row r="19" spans="1:2" x14ac:dyDescent="0.3">
      <c r="A19" t="s">
        <v>94</v>
      </c>
    </row>
    <row r="20" spans="1:2" x14ac:dyDescent="0.3">
      <c r="A20">
        <v>31</v>
      </c>
      <c r="B20">
        <v>26</v>
      </c>
    </row>
    <row r="25" spans="1:2" x14ac:dyDescent="0.3">
      <c r="A25" s="3" t="s">
        <v>95</v>
      </c>
    </row>
    <row r="26" spans="1:2" x14ac:dyDescent="0.3">
      <c r="A26" s="19" t="s">
        <v>97</v>
      </c>
    </row>
    <row r="27" spans="1:2" x14ac:dyDescent="0.3">
      <c r="A27" t="s">
        <v>103</v>
      </c>
    </row>
    <row r="28" spans="1:2" x14ac:dyDescent="0.3">
      <c r="A28" s="19" t="s">
        <v>98</v>
      </c>
    </row>
    <row r="29" spans="1:2" x14ac:dyDescent="0.3">
      <c r="A29" s="19" t="s">
        <v>100</v>
      </c>
    </row>
    <row r="30" spans="1:2" x14ac:dyDescent="0.3">
      <c r="A30" t="s">
        <v>108</v>
      </c>
    </row>
    <row r="31" spans="1:2" x14ac:dyDescent="0.3">
      <c r="A31" s="19" t="s">
        <v>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3"/>
  <sheetViews>
    <sheetView tabSelected="1" zoomScale="95" zoomScaleNormal="95" workbookViewId="0">
      <selection activeCell="J105" sqref="J105"/>
    </sheetView>
  </sheetViews>
  <sheetFormatPr defaultRowHeight="14.4" x14ac:dyDescent="0.3"/>
  <cols>
    <col min="1" max="1" width="32.6640625" customWidth="1"/>
    <col min="2" max="2" width="19.44140625" customWidth="1"/>
    <col min="3" max="14" width="18.5546875" customWidth="1"/>
    <col min="15" max="15" width="16.6640625" customWidth="1"/>
  </cols>
  <sheetData>
    <row r="1" spans="1:16" x14ac:dyDescent="0.3">
      <c r="A1" t="s">
        <v>0</v>
      </c>
    </row>
    <row r="2" spans="1:16" ht="15" thickBot="1" x14ac:dyDescent="0.35"/>
    <row r="3" spans="1:16" x14ac:dyDescent="0.3">
      <c r="A3" s="5" t="s">
        <v>1</v>
      </c>
      <c r="B3" s="6"/>
      <c r="C3" s="6"/>
      <c r="D3" s="6"/>
      <c r="E3" s="6"/>
      <c r="F3" s="6"/>
      <c r="G3" s="6"/>
      <c r="H3" s="6"/>
      <c r="I3" s="6"/>
      <c r="J3" s="6"/>
      <c r="K3" s="6"/>
      <c r="L3" s="6"/>
      <c r="M3" s="6"/>
      <c r="N3" s="6"/>
      <c r="O3" s="6"/>
      <c r="P3" s="7"/>
    </row>
    <row r="4" spans="1:16" x14ac:dyDescent="0.3">
      <c r="A4" s="8" t="s">
        <v>2</v>
      </c>
      <c r="B4" s="9">
        <v>0.2</v>
      </c>
      <c r="F4" s="3" t="s">
        <v>14</v>
      </c>
      <c r="G4" s="3" t="s">
        <v>15</v>
      </c>
      <c r="H4" s="3"/>
      <c r="I4" s="3"/>
      <c r="J4" s="3" t="s">
        <v>14</v>
      </c>
      <c r="K4" s="3"/>
      <c r="L4" s="3"/>
      <c r="M4" s="3"/>
      <c r="N4" s="3" t="s">
        <v>23</v>
      </c>
      <c r="O4" s="3" t="s">
        <v>14</v>
      </c>
      <c r="P4" s="10" t="s">
        <v>15</v>
      </c>
    </row>
    <row r="5" spans="1:16" x14ac:dyDescent="0.3">
      <c r="A5" s="8" t="s">
        <v>3</v>
      </c>
      <c r="B5" s="9">
        <v>0.25</v>
      </c>
      <c r="E5" t="s">
        <v>16</v>
      </c>
      <c r="F5" s="1">
        <v>2500000</v>
      </c>
      <c r="G5" s="11">
        <v>3.5E-4</v>
      </c>
      <c r="I5" t="s">
        <v>20</v>
      </c>
      <c r="J5" s="1">
        <v>750000</v>
      </c>
      <c r="L5" t="s">
        <v>22</v>
      </c>
      <c r="N5">
        <v>10</v>
      </c>
      <c r="O5" s="1">
        <v>900000</v>
      </c>
      <c r="P5" s="23">
        <v>1.4999999999999999E-4</v>
      </c>
    </row>
    <row r="6" spans="1:16" x14ac:dyDescent="0.3">
      <c r="A6" s="8" t="s">
        <v>4</v>
      </c>
      <c r="B6" s="9">
        <v>0.28999999999999998</v>
      </c>
      <c r="E6" t="s">
        <v>17</v>
      </c>
      <c r="F6" s="1">
        <v>1900000</v>
      </c>
      <c r="G6" s="11">
        <v>2.5000000000000001E-4</v>
      </c>
      <c r="I6" t="s">
        <v>20</v>
      </c>
      <c r="J6" s="1">
        <v>750000</v>
      </c>
      <c r="L6" t="s">
        <v>21</v>
      </c>
      <c r="N6">
        <v>8</v>
      </c>
      <c r="O6" s="1">
        <v>1000000</v>
      </c>
      <c r="P6" s="12"/>
    </row>
    <row r="7" spans="1:16" x14ac:dyDescent="0.3">
      <c r="A7" s="8" t="s">
        <v>5</v>
      </c>
      <c r="B7" s="21">
        <v>5.90438E-2</v>
      </c>
      <c r="C7" t="s">
        <v>68</v>
      </c>
      <c r="E7" t="s">
        <v>18</v>
      </c>
      <c r="F7" s="1">
        <v>1900000</v>
      </c>
      <c r="G7" s="11">
        <v>2.5000000000000001E-4</v>
      </c>
      <c r="I7" t="s">
        <v>20</v>
      </c>
      <c r="J7" s="1">
        <v>750000</v>
      </c>
      <c r="L7" t="s">
        <v>24</v>
      </c>
      <c r="N7">
        <v>40</v>
      </c>
      <c r="O7" s="1">
        <v>600000</v>
      </c>
      <c r="P7" s="12"/>
    </row>
    <row r="8" spans="1:16" x14ac:dyDescent="0.3">
      <c r="A8" s="8" t="s">
        <v>11</v>
      </c>
      <c r="B8" s="1">
        <v>215000000</v>
      </c>
      <c r="C8">
        <v>20</v>
      </c>
      <c r="E8" t="s">
        <v>19</v>
      </c>
      <c r="F8" s="1">
        <v>1900000</v>
      </c>
      <c r="G8" s="11">
        <v>2.5000000000000001E-4</v>
      </c>
      <c r="I8" t="s">
        <v>20</v>
      </c>
      <c r="J8" s="1">
        <v>750000</v>
      </c>
      <c r="L8" t="s">
        <v>25</v>
      </c>
      <c r="N8">
        <v>20</v>
      </c>
      <c r="O8" s="1">
        <v>400000</v>
      </c>
      <c r="P8" s="12"/>
    </row>
    <row r="9" spans="1:16" x14ac:dyDescent="0.3">
      <c r="A9" s="8" t="s">
        <v>12</v>
      </c>
      <c r="B9" s="1">
        <v>21500000</v>
      </c>
      <c r="C9">
        <v>5</v>
      </c>
      <c r="P9" s="12"/>
    </row>
    <row r="10" spans="1:16" x14ac:dyDescent="0.3">
      <c r="A10" s="8" t="s">
        <v>13</v>
      </c>
      <c r="B10" s="1">
        <v>21000000</v>
      </c>
      <c r="C10">
        <v>5</v>
      </c>
      <c r="P10" s="12"/>
    </row>
    <row r="11" spans="1:16" x14ac:dyDescent="0.3">
      <c r="A11" s="8" t="s">
        <v>67</v>
      </c>
      <c r="B11" s="13">
        <v>0.8</v>
      </c>
      <c r="P11" s="12"/>
    </row>
    <row r="12" spans="1:16" x14ac:dyDescent="0.3">
      <c r="A12" s="8"/>
      <c r="B12" s="14" t="s">
        <v>31</v>
      </c>
      <c r="C12" s="15" t="s">
        <v>104</v>
      </c>
      <c r="D12" s="15" t="s">
        <v>37</v>
      </c>
      <c r="P12" s="12"/>
    </row>
    <row r="13" spans="1:16" x14ac:dyDescent="0.3">
      <c r="A13" s="8" t="s">
        <v>26</v>
      </c>
      <c r="B13" s="1">
        <v>150000</v>
      </c>
      <c r="C13">
        <v>110</v>
      </c>
      <c r="D13" s="9">
        <v>0.5</v>
      </c>
      <c r="P13" s="12"/>
    </row>
    <row r="14" spans="1:16" x14ac:dyDescent="0.3">
      <c r="A14" s="8" t="s">
        <v>27</v>
      </c>
      <c r="B14" s="1">
        <v>200000</v>
      </c>
      <c r="C14">
        <v>125</v>
      </c>
      <c r="D14" s="9">
        <v>0.38</v>
      </c>
      <c r="P14" s="12"/>
    </row>
    <row r="15" spans="1:16" x14ac:dyDescent="0.3">
      <c r="A15" s="8" t="s">
        <v>28</v>
      </c>
      <c r="B15" s="1">
        <v>270000</v>
      </c>
      <c r="C15">
        <v>140</v>
      </c>
      <c r="D15" s="9">
        <v>0.42</v>
      </c>
      <c r="P15" s="12"/>
    </row>
    <row r="16" spans="1:16" x14ac:dyDescent="0.3">
      <c r="A16" s="8" t="s">
        <v>29</v>
      </c>
      <c r="B16" s="1">
        <v>350000</v>
      </c>
      <c r="C16">
        <v>150</v>
      </c>
      <c r="D16" s="9">
        <v>0.45</v>
      </c>
      <c r="P16" s="12"/>
    </row>
    <row r="17" spans="1:16" x14ac:dyDescent="0.3">
      <c r="A17" s="8" t="s">
        <v>30</v>
      </c>
      <c r="B17" s="1">
        <v>430000</v>
      </c>
      <c r="C17">
        <v>200</v>
      </c>
      <c r="D17" s="9">
        <v>0.33</v>
      </c>
      <c r="P17" s="12"/>
    </row>
    <row r="18" spans="1:16" x14ac:dyDescent="0.3">
      <c r="A18" s="8"/>
      <c r="B18" s="1"/>
      <c r="P18" s="12"/>
    </row>
    <row r="19" spans="1:16" x14ac:dyDescent="0.3">
      <c r="A19" s="8" t="s">
        <v>105</v>
      </c>
      <c r="B19" s="22">
        <v>3.8</v>
      </c>
      <c r="C19" s="1">
        <v>60000000</v>
      </c>
      <c r="D19" t="s">
        <v>106</v>
      </c>
      <c r="E19" s="22">
        <v>4.2</v>
      </c>
      <c r="F19" s="1">
        <v>80000000</v>
      </c>
      <c r="G19" t="s">
        <v>107</v>
      </c>
      <c r="H19">
        <v>4.8</v>
      </c>
      <c r="P19" s="12"/>
    </row>
    <row r="20" spans="1:16" x14ac:dyDescent="0.3">
      <c r="A20" s="8"/>
      <c r="B20" s="22"/>
      <c r="C20">
        <v>2025</v>
      </c>
      <c r="D20">
        <v>2026</v>
      </c>
      <c r="E20">
        <v>2027</v>
      </c>
      <c r="F20">
        <v>2028</v>
      </c>
      <c r="G20">
        <v>2029</v>
      </c>
      <c r="H20">
        <v>2030</v>
      </c>
      <c r="I20">
        <v>2031</v>
      </c>
      <c r="J20">
        <v>2032</v>
      </c>
      <c r="K20">
        <v>2033</v>
      </c>
      <c r="L20">
        <v>2034</v>
      </c>
      <c r="P20" s="12"/>
    </row>
    <row r="21" spans="1:16" x14ac:dyDescent="0.3">
      <c r="A21" s="8" t="s">
        <v>6</v>
      </c>
      <c r="C21">
        <v>0</v>
      </c>
      <c r="D21">
        <v>0</v>
      </c>
      <c r="E21">
        <v>0</v>
      </c>
      <c r="F21">
        <v>0</v>
      </c>
      <c r="G21">
        <v>0</v>
      </c>
      <c r="H21">
        <v>0</v>
      </c>
      <c r="I21">
        <v>0</v>
      </c>
      <c r="J21">
        <v>0</v>
      </c>
      <c r="K21">
        <v>0</v>
      </c>
      <c r="L21">
        <v>0</v>
      </c>
      <c r="P21" s="12"/>
    </row>
    <row r="22" spans="1:16" x14ac:dyDescent="0.3">
      <c r="A22" s="8" t="s">
        <v>7</v>
      </c>
      <c r="C22" s="11">
        <v>5.7500000000000002E-2</v>
      </c>
      <c r="D22" s="11">
        <v>5.2499999999999998E-2</v>
      </c>
      <c r="E22" s="11">
        <v>4.8500000000000001E-2</v>
      </c>
      <c r="F22" s="11">
        <v>4.8500000000000001E-2</v>
      </c>
      <c r="G22" s="11">
        <v>4.8500000000000001E-2</v>
      </c>
      <c r="H22" s="11">
        <v>4.8500000000000001E-2</v>
      </c>
      <c r="I22" s="11">
        <v>4.8500000000000001E-2</v>
      </c>
      <c r="J22" s="11">
        <v>4.8500000000000001E-2</v>
      </c>
      <c r="K22" s="11">
        <v>4.8500000000000001E-2</v>
      </c>
      <c r="L22" s="11">
        <v>4.8500000000000001E-2</v>
      </c>
      <c r="M22" s="11"/>
      <c r="N22" s="11"/>
      <c r="P22" s="12"/>
    </row>
    <row r="23" spans="1:16" x14ac:dyDescent="0.3">
      <c r="A23" s="8" t="s">
        <v>8</v>
      </c>
      <c r="C23" s="11">
        <v>0.1125</v>
      </c>
      <c r="D23" s="11">
        <v>0.115</v>
      </c>
      <c r="E23" s="11">
        <v>0.11849999999999999</v>
      </c>
      <c r="F23" s="11">
        <v>0.11849999999999999</v>
      </c>
      <c r="G23" s="11">
        <v>0.11849999999999999</v>
      </c>
      <c r="H23" s="11">
        <v>0.11849999999999999</v>
      </c>
      <c r="I23" s="11">
        <v>0.11849999999999999</v>
      </c>
      <c r="J23" s="11">
        <v>0.11849999999999999</v>
      </c>
      <c r="K23" s="11">
        <v>0.11849999999999999</v>
      </c>
      <c r="L23" s="11">
        <v>0.11849999999999999</v>
      </c>
      <c r="M23" s="11"/>
      <c r="N23" s="11"/>
      <c r="P23" s="12"/>
    </row>
    <row r="24" spans="1:16" x14ac:dyDescent="0.3">
      <c r="A24" s="8" t="s">
        <v>9</v>
      </c>
      <c r="C24" s="11">
        <v>3.2500000000000001E-2</v>
      </c>
      <c r="D24" s="11">
        <v>2.9499999999999998E-2</v>
      </c>
      <c r="E24" s="11">
        <v>2.5499999999999998E-2</v>
      </c>
      <c r="F24" s="11">
        <v>2.5499999999999998E-2</v>
      </c>
      <c r="G24" s="11">
        <v>2.5499999999999998E-2</v>
      </c>
      <c r="H24" s="11">
        <v>2.5499999999999998E-2</v>
      </c>
      <c r="I24" s="11">
        <v>2.5499999999999998E-2</v>
      </c>
      <c r="J24" s="11">
        <v>2.5499999999999998E-2</v>
      </c>
      <c r="K24" s="11">
        <v>2.5499999999999998E-2</v>
      </c>
      <c r="L24" s="11">
        <v>2.5499999999999998E-2</v>
      </c>
      <c r="M24" s="11"/>
      <c r="N24" s="11"/>
      <c r="P24" s="12"/>
    </row>
    <row r="25" spans="1:16" x14ac:dyDescent="0.3">
      <c r="A25" s="8" t="s">
        <v>10</v>
      </c>
      <c r="C25" s="11">
        <v>4.7500000000000001E-2</v>
      </c>
      <c r="D25" s="11">
        <v>4.5499999999999999E-2</v>
      </c>
      <c r="E25" s="11">
        <v>4.2500000000000003E-2</v>
      </c>
      <c r="F25" s="11">
        <v>4.2500000000000003E-2</v>
      </c>
      <c r="G25" s="11">
        <v>4.2500000000000003E-2</v>
      </c>
      <c r="H25" s="11">
        <v>4.2500000000000003E-2</v>
      </c>
      <c r="I25" s="11">
        <v>4.2500000000000003E-2</v>
      </c>
      <c r="J25" s="11">
        <v>4.2500000000000003E-2</v>
      </c>
      <c r="K25" s="11">
        <v>4.2500000000000003E-2</v>
      </c>
      <c r="L25" s="11">
        <v>4.2500000000000003E-2</v>
      </c>
      <c r="M25" s="11"/>
      <c r="N25" s="11"/>
      <c r="P25" s="12"/>
    </row>
    <row r="26" spans="1:16" x14ac:dyDescent="0.3">
      <c r="A26" s="8" t="s">
        <v>32</v>
      </c>
      <c r="D26" s="2">
        <v>2</v>
      </c>
      <c r="E26" s="2">
        <v>2</v>
      </c>
      <c r="F26" s="2">
        <v>2</v>
      </c>
      <c r="G26" s="2">
        <v>2</v>
      </c>
      <c r="H26" s="2">
        <v>2</v>
      </c>
      <c r="I26" s="2">
        <v>2</v>
      </c>
      <c r="J26" s="2">
        <v>2</v>
      </c>
      <c r="K26" s="2">
        <v>2</v>
      </c>
      <c r="L26" s="2">
        <v>2</v>
      </c>
      <c r="M26" s="2"/>
      <c r="N26" s="2"/>
      <c r="P26" s="12"/>
    </row>
    <row r="27" spans="1:16" x14ac:dyDescent="0.3">
      <c r="A27" s="8" t="s">
        <v>33</v>
      </c>
      <c r="D27" s="2">
        <v>3</v>
      </c>
      <c r="E27" s="2">
        <v>3</v>
      </c>
      <c r="F27" s="2">
        <v>3</v>
      </c>
      <c r="G27" s="2">
        <v>3</v>
      </c>
      <c r="H27" s="2">
        <v>3</v>
      </c>
      <c r="I27" s="2">
        <v>3</v>
      </c>
      <c r="J27" s="2">
        <v>3</v>
      </c>
      <c r="K27" s="2">
        <v>3</v>
      </c>
      <c r="L27" s="2">
        <v>3</v>
      </c>
      <c r="M27" s="2"/>
      <c r="N27" s="2"/>
      <c r="P27" s="12"/>
    </row>
    <row r="28" spans="1:16" x14ac:dyDescent="0.3">
      <c r="A28" s="8" t="s">
        <v>34</v>
      </c>
      <c r="D28" s="2">
        <v>3</v>
      </c>
      <c r="E28" s="2">
        <v>3</v>
      </c>
      <c r="F28" s="2">
        <v>3</v>
      </c>
      <c r="G28" s="2">
        <v>3</v>
      </c>
      <c r="H28" s="2">
        <v>3</v>
      </c>
      <c r="I28" s="2">
        <v>3</v>
      </c>
      <c r="J28" s="2">
        <v>3</v>
      </c>
      <c r="K28" s="2">
        <v>3</v>
      </c>
      <c r="L28" s="2">
        <v>3</v>
      </c>
      <c r="M28" s="2"/>
      <c r="N28" s="2"/>
      <c r="P28" s="12"/>
    </row>
    <row r="29" spans="1:16" x14ac:dyDescent="0.3">
      <c r="A29" s="8" t="s">
        <v>35</v>
      </c>
      <c r="D29" s="2">
        <v>4</v>
      </c>
      <c r="E29" s="2">
        <v>4</v>
      </c>
      <c r="F29" s="2">
        <v>4</v>
      </c>
      <c r="G29" s="2">
        <v>4</v>
      </c>
      <c r="H29" s="2">
        <v>4</v>
      </c>
      <c r="I29" s="2">
        <v>4</v>
      </c>
      <c r="J29" s="2">
        <v>4</v>
      </c>
      <c r="K29" s="2">
        <v>4</v>
      </c>
      <c r="L29" s="2">
        <v>4</v>
      </c>
      <c r="M29" s="2"/>
      <c r="N29" s="2"/>
      <c r="P29" s="12"/>
    </row>
    <row r="30" spans="1:16" ht="15" thickBot="1" x14ac:dyDescent="0.35">
      <c r="A30" s="16" t="s">
        <v>36</v>
      </c>
      <c r="B30" s="17"/>
      <c r="C30" s="17"/>
      <c r="D30" s="24">
        <v>4</v>
      </c>
      <c r="E30" s="24">
        <v>4</v>
      </c>
      <c r="F30" s="24">
        <v>4</v>
      </c>
      <c r="G30" s="24">
        <v>4</v>
      </c>
      <c r="H30" s="24">
        <v>4</v>
      </c>
      <c r="I30" s="24">
        <v>4</v>
      </c>
      <c r="J30" s="24">
        <v>4</v>
      </c>
      <c r="K30" s="24">
        <v>4</v>
      </c>
      <c r="L30" s="24">
        <v>4</v>
      </c>
      <c r="M30" s="24"/>
      <c r="N30" s="24"/>
      <c r="O30" s="17"/>
      <c r="P30" s="18"/>
    </row>
    <row r="32" spans="1:16" x14ac:dyDescent="0.3">
      <c r="A32" s="3" t="s">
        <v>83</v>
      </c>
    </row>
    <row r="33" spans="1:14" x14ac:dyDescent="0.3">
      <c r="A33" t="s">
        <v>38</v>
      </c>
      <c r="B33" s="20"/>
      <c r="C33" s="20"/>
      <c r="D33" s="20"/>
      <c r="E33" s="20"/>
      <c r="F33" s="20"/>
      <c r="G33" s="20"/>
      <c r="H33" s="20"/>
      <c r="I33" s="20"/>
      <c r="J33" s="20"/>
      <c r="K33" s="20"/>
      <c r="L33" s="20"/>
      <c r="M33" s="20"/>
      <c r="N33" s="20"/>
    </row>
    <row r="34" spans="1:14" x14ac:dyDescent="0.3">
      <c r="A34" t="s">
        <v>39</v>
      </c>
      <c r="B34" s="20"/>
      <c r="C34" s="20"/>
      <c r="D34" s="20"/>
      <c r="E34" s="20"/>
      <c r="F34" s="20"/>
      <c r="G34" s="20"/>
      <c r="H34" s="20"/>
      <c r="I34" s="20"/>
      <c r="J34" s="20"/>
      <c r="K34" s="20"/>
      <c r="L34" s="20"/>
      <c r="M34" s="20"/>
      <c r="N34" s="20"/>
    </row>
    <row r="35" spans="1:14" x14ac:dyDescent="0.3">
      <c r="A35" t="s">
        <v>40</v>
      </c>
      <c r="B35" s="20"/>
      <c r="C35" s="20"/>
      <c r="D35" s="20"/>
      <c r="E35" s="20"/>
      <c r="F35" s="20"/>
      <c r="G35" s="20"/>
      <c r="H35" s="20"/>
      <c r="I35" s="20"/>
      <c r="J35" s="20"/>
      <c r="K35" s="20"/>
      <c r="L35" s="20"/>
      <c r="M35" s="20"/>
      <c r="N35" s="20"/>
    </row>
    <row r="37" spans="1:14" x14ac:dyDescent="0.3">
      <c r="A37" s="3" t="s">
        <v>42</v>
      </c>
    </row>
    <row r="38" spans="1:14" x14ac:dyDescent="0.3">
      <c r="A38" t="s">
        <v>26</v>
      </c>
      <c r="D38" s="2"/>
      <c r="E38" s="2"/>
      <c r="F38" s="2"/>
      <c r="G38" s="2"/>
      <c r="H38" s="2"/>
      <c r="I38" s="2"/>
      <c r="J38" s="2"/>
      <c r="K38" s="2"/>
      <c r="L38" s="2"/>
      <c r="M38" s="2"/>
      <c r="N38" s="2"/>
    </row>
    <row r="39" spans="1:14" x14ac:dyDescent="0.3">
      <c r="A39" t="s">
        <v>27</v>
      </c>
      <c r="D39" s="2"/>
      <c r="E39" s="2"/>
      <c r="F39" s="2"/>
      <c r="G39" s="2"/>
      <c r="H39" s="2"/>
      <c r="I39" s="2"/>
      <c r="J39" s="2"/>
      <c r="K39" s="2"/>
      <c r="L39" s="2"/>
      <c r="M39" s="2"/>
      <c r="N39" s="2"/>
    </row>
    <row r="40" spans="1:14" x14ac:dyDescent="0.3">
      <c r="A40" t="s">
        <v>28</v>
      </c>
      <c r="D40" s="2"/>
      <c r="E40" s="2"/>
      <c r="F40" s="2"/>
      <c r="G40" s="2"/>
      <c r="H40" s="2"/>
      <c r="I40" s="2"/>
      <c r="J40" s="2"/>
      <c r="K40" s="2"/>
      <c r="L40" s="2"/>
      <c r="M40" s="2"/>
      <c r="N40" s="2"/>
    </row>
    <row r="41" spans="1:14" x14ac:dyDescent="0.3">
      <c r="A41" t="s">
        <v>29</v>
      </c>
      <c r="D41" s="2"/>
      <c r="E41" s="2"/>
      <c r="F41" s="2"/>
      <c r="G41" s="2"/>
      <c r="H41" s="2"/>
      <c r="I41" s="2"/>
      <c r="J41" s="2"/>
      <c r="K41" s="2"/>
      <c r="L41" s="2"/>
      <c r="M41" s="2"/>
      <c r="N41" s="2"/>
    </row>
    <row r="42" spans="1:14" x14ac:dyDescent="0.3">
      <c r="A42" t="s">
        <v>30</v>
      </c>
      <c r="D42" s="2"/>
      <c r="E42" s="2"/>
      <c r="F42" s="2"/>
      <c r="G42" s="2"/>
      <c r="H42" s="2"/>
      <c r="I42" s="2"/>
      <c r="J42" s="2"/>
      <c r="K42" s="2"/>
      <c r="L42" s="2"/>
      <c r="M42" s="2"/>
      <c r="N42" s="2"/>
    </row>
    <row r="44" spans="1:14" x14ac:dyDescent="0.3">
      <c r="A44" t="s">
        <v>43</v>
      </c>
    </row>
    <row r="45" spans="1:14" x14ac:dyDescent="0.3">
      <c r="A45" t="s">
        <v>26</v>
      </c>
      <c r="C45" s="1"/>
      <c r="D45" s="1"/>
      <c r="E45" s="1"/>
      <c r="F45" s="1"/>
      <c r="G45" s="1"/>
      <c r="H45" s="1"/>
      <c r="I45" s="1"/>
      <c r="J45" s="1"/>
      <c r="K45" s="1"/>
      <c r="L45" s="1"/>
      <c r="M45" s="1"/>
      <c r="N45" s="1"/>
    </row>
    <row r="46" spans="1:14" x14ac:dyDescent="0.3">
      <c r="A46" t="s">
        <v>27</v>
      </c>
      <c r="C46" s="1"/>
      <c r="D46" s="1"/>
      <c r="E46" s="1"/>
      <c r="F46" s="1"/>
      <c r="G46" s="1"/>
      <c r="H46" s="1"/>
      <c r="I46" s="1"/>
      <c r="J46" s="1"/>
      <c r="K46" s="1"/>
      <c r="L46" s="1"/>
      <c r="M46" s="1"/>
      <c r="N46" s="1"/>
    </row>
    <row r="47" spans="1:14" x14ac:dyDescent="0.3">
      <c r="A47" t="s">
        <v>28</v>
      </c>
      <c r="C47" s="1"/>
      <c r="D47" s="1"/>
      <c r="E47" s="1"/>
      <c r="F47" s="1"/>
      <c r="G47" s="1"/>
      <c r="H47" s="1"/>
      <c r="I47" s="1"/>
      <c r="J47" s="1"/>
      <c r="K47" s="1"/>
      <c r="L47" s="1"/>
      <c r="M47" s="1"/>
      <c r="N47" s="1"/>
    </row>
    <row r="48" spans="1:14" x14ac:dyDescent="0.3">
      <c r="A48" t="s">
        <v>29</v>
      </c>
      <c r="C48" s="1"/>
      <c r="D48" s="1"/>
      <c r="E48" s="1"/>
      <c r="F48" s="1"/>
      <c r="G48" s="1"/>
      <c r="H48" s="1"/>
      <c r="I48" s="1"/>
      <c r="J48" s="1"/>
      <c r="K48" s="1"/>
      <c r="L48" s="1"/>
      <c r="M48" s="1"/>
      <c r="N48" s="1"/>
    </row>
    <row r="49" spans="1:14" x14ac:dyDescent="0.3">
      <c r="A49" t="s">
        <v>30</v>
      </c>
      <c r="C49" s="1"/>
      <c r="D49" s="1"/>
      <c r="E49" s="1"/>
      <c r="F49" s="1"/>
      <c r="G49" s="1"/>
      <c r="H49" s="1"/>
      <c r="I49" s="1"/>
      <c r="J49" s="1"/>
      <c r="K49" s="1"/>
      <c r="L49" s="1"/>
      <c r="M49" s="1"/>
      <c r="N49" s="1"/>
    </row>
    <row r="50" spans="1:14" x14ac:dyDescent="0.3">
      <c r="C50" s="1"/>
      <c r="D50" s="1"/>
      <c r="E50" s="1"/>
      <c r="F50" s="1"/>
      <c r="G50" s="1"/>
      <c r="H50" s="1"/>
      <c r="I50" s="1"/>
      <c r="J50" s="1"/>
      <c r="K50" s="1"/>
      <c r="L50" s="1"/>
      <c r="M50" s="1"/>
      <c r="N50" s="1"/>
    </row>
    <row r="51" spans="1:14" x14ac:dyDescent="0.3">
      <c r="C51" s="1"/>
      <c r="D51" s="1"/>
      <c r="E51" s="1"/>
      <c r="F51" s="1"/>
      <c r="G51" s="1"/>
      <c r="H51" s="1"/>
      <c r="I51" s="1"/>
      <c r="J51" s="1"/>
      <c r="K51" s="1"/>
      <c r="L51" s="1"/>
      <c r="M51" s="1"/>
      <c r="N51" s="1"/>
    </row>
    <row r="52" spans="1:14" x14ac:dyDescent="0.3">
      <c r="A52" s="3" t="s">
        <v>41</v>
      </c>
      <c r="C52" s="1"/>
      <c r="D52" s="1"/>
      <c r="E52" s="1"/>
      <c r="F52" s="1"/>
      <c r="G52" s="1"/>
      <c r="H52" s="1"/>
      <c r="I52" s="1"/>
      <c r="J52" s="1"/>
      <c r="K52" s="1"/>
      <c r="L52" s="1"/>
      <c r="M52" s="1"/>
      <c r="N52" s="1"/>
    </row>
    <row r="53" spans="1:14" x14ac:dyDescent="0.3">
      <c r="A53" t="s">
        <v>26</v>
      </c>
      <c r="C53" s="1"/>
      <c r="D53" s="1"/>
      <c r="E53" s="1"/>
      <c r="F53" s="1"/>
      <c r="G53" s="1"/>
      <c r="H53" s="1"/>
      <c r="I53" s="1"/>
      <c r="J53" s="1"/>
      <c r="K53" s="1"/>
      <c r="L53" s="1"/>
      <c r="M53" s="1"/>
      <c r="N53" s="1"/>
    </row>
    <row r="54" spans="1:14" x14ac:dyDescent="0.3">
      <c r="A54" t="s">
        <v>27</v>
      </c>
      <c r="C54" s="1"/>
      <c r="D54" s="1"/>
      <c r="E54" s="1"/>
      <c r="F54" s="1"/>
      <c r="G54" s="1"/>
      <c r="H54" s="1"/>
      <c r="I54" s="1"/>
      <c r="J54" s="1"/>
      <c r="K54" s="1"/>
      <c r="L54" s="1"/>
      <c r="M54" s="1"/>
      <c r="N54" s="1"/>
    </row>
    <row r="55" spans="1:14" x14ac:dyDescent="0.3">
      <c r="A55" t="s">
        <v>28</v>
      </c>
      <c r="C55" s="1"/>
      <c r="D55" s="1"/>
      <c r="E55" s="1"/>
      <c r="F55" s="1"/>
      <c r="G55" s="1"/>
      <c r="H55" s="1"/>
      <c r="I55" s="1"/>
      <c r="J55" s="1"/>
      <c r="K55" s="1"/>
      <c r="L55" s="1"/>
      <c r="M55" s="1"/>
      <c r="N55" s="1"/>
    </row>
    <row r="56" spans="1:14" x14ac:dyDescent="0.3">
      <c r="A56" t="s">
        <v>29</v>
      </c>
      <c r="C56" s="1"/>
      <c r="D56" s="1"/>
      <c r="E56" s="1"/>
      <c r="F56" s="1"/>
      <c r="G56" s="1"/>
      <c r="H56" s="1"/>
      <c r="I56" s="1"/>
      <c r="J56" s="1"/>
      <c r="K56" s="1"/>
      <c r="L56" s="1"/>
      <c r="M56" s="1"/>
      <c r="N56" s="1"/>
    </row>
    <row r="57" spans="1:14" x14ac:dyDescent="0.3">
      <c r="A57" t="s">
        <v>30</v>
      </c>
      <c r="C57" s="1"/>
      <c r="D57" s="1"/>
      <c r="E57" s="1"/>
      <c r="F57" s="1"/>
      <c r="G57" s="1"/>
      <c r="H57" s="1"/>
      <c r="I57" s="1"/>
      <c r="J57" s="1"/>
      <c r="K57" s="1"/>
      <c r="L57" s="1"/>
      <c r="M57" s="1"/>
      <c r="N57" s="1"/>
    </row>
    <row r="58" spans="1:14" x14ac:dyDescent="0.3">
      <c r="C58" s="1"/>
      <c r="D58" s="1"/>
      <c r="E58" s="1"/>
      <c r="F58" s="1"/>
      <c r="G58" s="1"/>
      <c r="H58" s="1"/>
      <c r="I58" s="1"/>
      <c r="J58" s="1"/>
      <c r="K58" s="1"/>
      <c r="L58" s="1"/>
      <c r="M58" s="1"/>
      <c r="N58" s="1"/>
    </row>
    <row r="59" spans="1:14" x14ac:dyDescent="0.3">
      <c r="A59" s="3" t="s">
        <v>44</v>
      </c>
      <c r="C59" s="1"/>
      <c r="D59" s="1"/>
      <c r="E59" s="1"/>
      <c r="F59" s="1"/>
      <c r="G59" s="1"/>
      <c r="H59" s="1"/>
      <c r="I59" s="1"/>
      <c r="J59" s="1"/>
      <c r="K59" s="1"/>
      <c r="L59" s="1"/>
      <c r="M59" s="1"/>
      <c r="N59" s="1"/>
    </row>
    <row r="60" spans="1:14" x14ac:dyDescent="0.3">
      <c r="C60" s="1"/>
      <c r="D60" s="1"/>
      <c r="E60" s="1"/>
      <c r="F60" s="1"/>
      <c r="G60" s="1"/>
      <c r="H60" s="1"/>
      <c r="I60" s="1"/>
      <c r="J60" s="1"/>
      <c r="K60" s="1"/>
      <c r="L60" s="1"/>
      <c r="M60" s="1"/>
      <c r="N60" s="1"/>
    </row>
    <row r="61" spans="1:14" x14ac:dyDescent="0.3">
      <c r="C61" s="1"/>
      <c r="D61" s="1"/>
      <c r="E61" s="1"/>
      <c r="F61" s="1"/>
      <c r="G61" s="1"/>
      <c r="H61" s="1"/>
      <c r="I61" s="1"/>
      <c r="J61" s="1"/>
      <c r="K61" s="1"/>
      <c r="L61" s="1"/>
      <c r="M61" s="1"/>
      <c r="N61" s="1"/>
    </row>
    <row r="62" spans="1:14" x14ac:dyDescent="0.3">
      <c r="A62" s="3" t="s">
        <v>45</v>
      </c>
      <c r="C62" s="1"/>
      <c r="D62" s="1"/>
      <c r="E62" s="1"/>
      <c r="F62" s="1"/>
      <c r="G62" s="1"/>
      <c r="H62" s="1"/>
      <c r="I62" s="1"/>
      <c r="J62" s="1"/>
      <c r="K62" s="1"/>
      <c r="L62" s="1"/>
      <c r="M62" s="1"/>
      <c r="N62" s="1"/>
    </row>
    <row r="63" spans="1:14" x14ac:dyDescent="0.3">
      <c r="A63" t="s">
        <v>46</v>
      </c>
      <c r="C63" s="1"/>
      <c r="D63" s="1"/>
      <c r="E63" s="1"/>
      <c r="F63" s="1"/>
      <c r="G63" s="1"/>
      <c r="H63" s="1"/>
      <c r="I63" s="1"/>
      <c r="J63" s="1"/>
      <c r="K63" s="1"/>
      <c r="L63" s="1"/>
      <c r="M63" s="1"/>
      <c r="N63" s="1"/>
    </row>
    <row r="64" spans="1:14" x14ac:dyDescent="0.3">
      <c r="A64" t="s">
        <v>47</v>
      </c>
      <c r="C64" s="1"/>
      <c r="D64" s="1"/>
      <c r="E64" s="1"/>
      <c r="F64" s="1"/>
      <c r="G64" s="1"/>
      <c r="H64" s="1"/>
      <c r="I64" s="1"/>
      <c r="J64" s="1"/>
      <c r="K64" s="1"/>
      <c r="L64" s="1"/>
      <c r="M64" s="1"/>
      <c r="N64" s="1"/>
    </row>
    <row r="65" spans="1:14" x14ac:dyDescent="0.3">
      <c r="A65" t="s">
        <v>48</v>
      </c>
      <c r="C65" s="1"/>
      <c r="D65" s="1"/>
      <c r="E65" s="1"/>
      <c r="F65" s="1"/>
      <c r="G65" s="1"/>
      <c r="H65" s="1"/>
      <c r="I65" s="1"/>
      <c r="J65" s="1"/>
      <c r="K65" s="1"/>
      <c r="L65" s="1"/>
      <c r="M65" s="1"/>
      <c r="N65" s="1"/>
    </row>
    <row r="66" spans="1:14" x14ac:dyDescent="0.3">
      <c r="A66" t="s">
        <v>49</v>
      </c>
      <c r="C66" s="1"/>
      <c r="D66" s="1"/>
      <c r="E66" s="1"/>
      <c r="F66" s="1"/>
      <c r="G66" s="1"/>
      <c r="H66" s="1"/>
      <c r="I66" s="1"/>
      <c r="J66" s="1"/>
      <c r="K66" s="1"/>
      <c r="L66" s="1"/>
      <c r="M66" s="1"/>
      <c r="N66" s="1"/>
    </row>
    <row r="67" spans="1:14" x14ac:dyDescent="0.3">
      <c r="A67" t="s">
        <v>50</v>
      </c>
      <c r="C67" s="1"/>
      <c r="D67" s="1"/>
      <c r="E67" s="1"/>
      <c r="F67" s="1"/>
      <c r="G67" s="1"/>
      <c r="H67" s="1"/>
      <c r="I67" s="1"/>
      <c r="J67" s="1"/>
      <c r="K67" s="1"/>
      <c r="L67" s="1"/>
      <c r="M67" s="1"/>
      <c r="N67" s="1"/>
    </row>
    <row r="68" spans="1:14" x14ac:dyDescent="0.3">
      <c r="A68" t="s">
        <v>51</v>
      </c>
      <c r="C68" s="1"/>
      <c r="D68" s="1"/>
      <c r="E68" s="1"/>
      <c r="F68" s="1"/>
      <c r="G68" s="1"/>
      <c r="H68" s="1"/>
      <c r="I68" s="1"/>
      <c r="J68" s="1"/>
      <c r="K68" s="1"/>
      <c r="L68" s="1"/>
      <c r="M68" s="1"/>
      <c r="N68" s="1"/>
    </row>
    <row r="69" spans="1:14" x14ac:dyDescent="0.3">
      <c r="A69" t="s">
        <v>52</v>
      </c>
      <c r="C69" s="1"/>
      <c r="D69" s="1"/>
      <c r="E69" s="1"/>
      <c r="F69" s="1"/>
      <c r="G69" s="1"/>
      <c r="H69" s="1"/>
      <c r="I69" s="1"/>
      <c r="J69" s="1"/>
      <c r="K69" s="1"/>
      <c r="L69" s="1"/>
      <c r="M69" s="1"/>
      <c r="N69" s="1"/>
    </row>
    <row r="70" spans="1:14" x14ac:dyDescent="0.3">
      <c r="A70" t="s">
        <v>53</v>
      </c>
      <c r="C70" s="1"/>
      <c r="D70" s="1"/>
      <c r="E70" s="1"/>
      <c r="F70" s="1"/>
      <c r="G70" s="1"/>
      <c r="H70" s="1"/>
      <c r="I70" s="1"/>
      <c r="J70" s="1"/>
      <c r="K70" s="1"/>
      <c r="L70" s="1"/>
      <c r="M70" s="1"/>
      <c r="N70" s="1"/>
    </row>
    <row r="71" spans="1:14" x14ac:dyDescent="0.3">
      <c r="A71" t="s">
        <v>102</v>
      </c>
      <c r="C71" s="1"/>
      <c r="D71" s="1"/>
      <c r="E71" s="1"/>
      <c r="F71" s="1"/>
      <c r="G71" s="1"/>
      <c r="H71" s="1"/>
      <c r="I71" s="1"/>
      <c r="J71" s="1"/>
      <c r="K71" s="1"/>
      <c r="L71" s="1"/>
      <c r="M71" s="1"/>
      <c r="N71" s="1"/>
    </row>
    <row r="72" spans="1:14" x14ac:dyDescent="0.3">
      <c r="A72" t="s">
        <v>54</v>
      </c>
      <c r="C72" s="1"/>
      <c r="D72" s="1"/>
      <c r="E72" s="1"/>
      <c r="F72" s="1"/>
      <c r="G72" s="1"/>
      <c r="H72" s="1"/>
      <c r="I72" s="1"/>
      <c r="J72" s="1"/>
      <c r="K72" s="1"/>
      <c r="L72" s="1"/>
      <c r="M72" s="1"/>
      <c r="N72" s="1"/>
    </row>
    <row r="73" spans="1:14" x14ac:dyDescent="0.3">
      <c r="A73" t="s">
        <v>55</v>
      </c>
      <c r="C73" s="1"/>
      <c r="D73" s="1"/>
      <c r="E73" s="1"/>
      <c r="F73" s="1"/>
      <c r="G73" s="1"/>
      <c r="H73" s="1"/>
      <c r="I73" s="1"/>
      <c r="J73" s="1"/>
      <c r="K73" s="1"/>
      <c r="L73" s="1"/>
      <c r="M73" s="1"/>
      <c r="N73" s="1"/>
    </row>
    <row r="74" spans="1:14" x14ac:dyDescent="0.3">
      <c r="A74" t="s">
        <v>56</v>
      </c>
      <c r="C74" s="1"/>
      <c r="D74" s="1"/>
      <c r="E74" s="1"/>
      <c r="F74" s="1"/>
      <c r="G74" s="1"/>
      <c r="H74" s="1"/>
      <c r="I74" s="1"/>
      <c r="J74" s="1"/>
      <c r="K74" s="1"/>
      <c r="L74" s="1"/>
      <c r="M74" s="1"/>
      <c r="N74" s="1"/>
    </row>
    <row r="75" spans="1:14" x14ac:dyDescent="0.3">
      <c r="A75" t="s">
        <v>57</v>
      </c>
      <c r="C75" s="1"/>
      <c r="D75" s="1"/>
      <c r="E75" s="1"/>
      <c r="F75" s="1"/>
      <c r="G75" s="1"/>
      <c r="H75" s="1"/>
      <c r="I75" s="1"/>
      <c r="J75" s="1"/>
      <c r="K75" s="1"/>
      <c r="L75" s="1"/>
      <c r="M75" s="1"/>
      <c r="N75" s="1"/>
    </row>
    <row r="76" spans="1:14" x14ac:dyDescent="0.3">
      <c r="A76" t="s">
        <v>58</v>
      </c>
      <c r="C76" s="1"/>
      <c r="D76" s="1"/>
      <c r="E76" s="1"/>
      <c r="F76" s="1"/>
      <c r="G76" s="1"/>
      <c r="H76" s="1"/>
      <c r="I76" s="1"/>
      <c r="J76" s="1"/>
      <c r="K76" s="1"/>
      <c r="L76" s="1"/>
      <c r="M76" s="1"/>
      <c r="N76" s="1"/>
    </row>
    <row r="77" spans="1:14" x14ac:dyDescent="0.3">
      <c r="A77" t="s">
        <v>59</v>
      </c>
      <c r="C77" s="1"/>
      <c r="D77" s="1"/>
      <c r="E77" s="1"/>
      <c r="F77" s="1"/>
      <c r="G77" s="1"/>
      <c r="H77" s="1"/>
      <c r="I77" s="1"/>
      <c r="J77" s="1"/>
      <c r="K77" s="1"/>
      <c r="L77" s="1"/>
      <c r="M77" s="1"/>
      <c r="N77" s="1"/>
    </row>
    <row r="78" spans="1:14" x14ac:dyDescent="0.3">
      <c r="A78" t="s">
        <v>60</v>
      </c>
      <c r="C78" s="1"/>
      <c r="D78" s="1"/>
      <c r="E78" s="1"/>
      <c r="F78" s="1"/>
      <c r="G78" s="1"/>
      <c r="H78" s="1"/>
      <c r="I78" s="1"/>
      <c r="J78" s="1"/>
      <c r="K78" s="1"/>
      <c r="L78" s="1"/>
      <c r="M78" s="1"/>
      <c r="N78" s="1"/>
    </row>
    <row r="79" spans="1:14" x14ac:dyDescent="0.3">
      <c r="A79" t="s">
        <v>61</v>
      </c>
      <c r="C79" s="1"/>
      <c r="D79" s="1"/>
      <c r="E79" s="1"/>
      <c r="F79" s="1"/>
      <c r="G79" s="1"/>
      <c r="H79" s="1"/>
      <c r="I79" s="1"/>
      <c r="J79" s="1"/>
      <c r="K79" s="1"/>
      <c r="L79" s="1"/>
      <c r="M79" s="1"/>
      <c r="N79" s="1"/>
    </row>
    <row r="80" spans="1:14" x14ac:dyDescent="0.3">
      <c r="A80" t="s">
        <v>62</v>
      </c>
      <c r="C80" s="1"/>
      <c r="D80" s="1"/>
      <c r="E80" s="1"/>
      <c r="F80" s="1"/>
      <c r="G80" s="1"/>
      <c r="H80" s="1"/>
      <c r="I80" s="1"/>
      <c r="J80" s="1"/>
      <c r="K80" s="1"/>
      <c r="L80" s="1"/>
      <c r="M80" s="1"/>
      <c r="N80" s="1"/>
    </row>
    <row r="81" spans="1:16" x14ac:dyDescent="0.3">
      <c r="A81" t="s">
        <v>63</v>
      </c>
      <c r="C81" s="1"/>
      <c r="D81" s="1"/>
      <c r="E81" s="1"/>
      <c r="F81" s="1"/>
      <c r="G81" s="1"/>
      <c r="H81" s="1"/>
      <c r="I81" s="1"/>
      <c r="J81" s="1"/>
      <c r="K81" s="1"/>
      <c r="L81" s="1"/>
      <c r="M81" s="1"/>
      <c r="N81" s="1"/>
    </row>
    <row r="82" spans="1:16" x14ac:dyDescent="0.3">
      <c r="A82" t="s">
        <v>64</v>
      </c>
      <c r="C82" s="1"/>
      <c r="D82" s="1"/>
      <c r="E82" s="1"/>
      <c r="F82" s="1"/>
      <c r="G82" s="1"/>
      <c r="H82" s="1"/>
      <c r="I82" s="1"/>
      <c r="J82" s="1"/>
      <c r="K82" s="1"/>
      <c r="L82" s="1"/>
      <c r="M82" s="1"/>
      <c r="N82" s="1"/>
    </row>
    <row r="83" spans="1:16" x14ac:dyDescent="0.3">
      <c r="A83" t="s">
        <v>65</v>
      </c>
      <c r="C83" s="1"/>
      <c r="D83" s="1"/>
      <c r="E83" s="1"/>
      <c r="F83" s="1"/>
      <c r="G83" s="1"/>
      <c r="H83" s="1"/>
      <c r="I83" s="1"/>
      <c r="J83" s="1"/>
      <c r="K83" s="1"/>
      <c r="L83" s="1"/>
      <c r="M83" s="1"/>
      <c r="N83" s="1"/>
    </row>
    <row r="84" spans="1:16" x14ac:dyDescent="0.3">
      <c r="A84" t="s">
        <v>66</v>
      </c>
      <c r="C84" s="1"/>
      <c r="D84" s="1"/>
      <c r="E84" s="1"/>
      <c r="F84" s="1"/>
      <c r="G84" s="1"/>
      <c r="H84" s="1"/>
      <c r="I84" s="1"/>
      <c r="J84" s="1"/>
      <c r="K84" s="1"/>
      <c r="L84" s="1"/>
      <c r="M84" s="1"/>
      <c r="N84" s="1"/>
    </row>
    <row r="85" spans="1:16" x14ac:dyDescent="0.3">
      <c r="C85" s="1"/>
      <c r="D85" s="1"/>
      <c r="E85" s="1"/>
      <c r="F85" s="1"/>
      <c r="G85" s="1"/>
      <c r="H85" s="1"/>
      <c r="I85" s="1"/>
      <c r="J85" s="1"/>
      <c r="K85" s="1"/>
      <c r="L85" s="1"/>
      <c r="M85" s="1"/>
      <c r="N85" s="1"/>
    </row>
    <row r="86" spans="1:16" x14ac:dyDescent="0.3">
      <c r="A86" s="3" t="s">
        <v>69</v>
      </c>
      <c r="C86" s="1"/>
      <c r="D86" s="1"/>
      <c r="E86" s="1"/>
      <c r="F86" s="1"/>
      <c r="G86" s="1"/>
      <c r="H86" s="1"/>
      <c r="I86" s="1"/>
      <c r="J86" s="1"/>
      <c r="K86" s="1"/>
      <c r="L86" s="1"/>
      <c r="M86" s="1"/>
      <c r="N86" s="1"/>
    </row>
    <row r="88" spans="1:16" x14ac:dyDescent="0.3">
      <c r="A88" t="s">
        <v>70</v>
      </c>
      <c r="C88" s="1"/>
      <c r="D88" s="1"/>
      <c r="E88" s="1"/>
      <c r="F88" s="1"/>
      <c r="G88" s="1"/>
      <c r="H88" s="1"/>
      <c r="I88" s="1"/>
      <c r="J88" s="1"/>
      <c r="K88" s="1"/>
      <c r="L88" s="1"/>
      <c r="M88" s="1"/>
      <c r="N88" s="1"/>
    </row>
    <row r="89" spans="1:16" x14ac:dyDescent="0.3">
      <c r="A89" t="s">
        <v>71</v>
      </c>
      <c r="C89" s="1"/>
      <c r="D89" s="1"/>
      <c r="E89" s="1"/>
      <c r="F89" s="1"/>
      <c r="G89" s="1"/>
      <c r="H89" s="1"/>
      <c r="I89" s="1"/>
      <c r="J89" s="1"/>
      <c r="K89" s="1"/>
      <c r="L89" s="1"/>
      <c r="M89" s="1"/>
      <c r="N89" s="1"/>
    </row>
    <row r="90" spans="1:16" x14ac:dyDescent="0.3">
      <c r="A90" t="s">
        <v>72</v>
      </c>
      <c r="C90" s="1"/>
      <c r="D90" s="1"/>
      <c r="E90" s="1"/>
      <c r="F90" s="1"/>
      <c r="G90" s="1"/>
      <c r="H90" s="1"/>
      <c r="I90" s="1"/>
      <c r="J90" s="1"/>
      <c r="K90" s="1"/>
      <c r="L90" s="1"/>
      <c r="M90" s="1"/>
      <c r="N90" s="1"/>
    </row>
    <row r="91" spans="1:16" x14ac:dyDescent="0.3">
      <c r="A91" s="8"/>
      <c r="B91" s="22"/>
      <c r="P91" s="12"/>
    </row>
    <row r="92" spans="1:16" x14ac:dyDescent="0.3">
      <c r="A92" t="s">
        <v>73</v>
      </c>
      <c r="B92" s="1"/>
    </row>
    <row r="93" spans="1:16" x14ac:dyDescent="0.3">
      <c r="A93" t="s">
        <v>74</v>
      </c>
      <c r="C93" s="1"/>
      <c r="D93" s="1"/>
      <c r="E93" s="1"/>
      <c r="F93" s="1"/>
      <c r="G93" s="1"/>
      <c r="H93" s="1"/>
      <c r="I93" s="1"/>
      <c r="J93" s="1"/>
      <c r="K93" s="1"/>
      <c r="L93" s="1"/>
      <c r="M93" s="1"/>
      <c r="N93" s="1"/>
    </row>
    <row r="94" spans="1:16" x14ac:dyDescent="0.3">
      <c r="A94" t="s">
        <v>101</v>
      </c>
      <c r="C94" s="1"/>
      <c r="D94" s="1"/>
      <c r="E94" s="1"/>
      <c r="F94" s="1"/>
      <c r="G94" s="1"/>
      <c r="H94" s="1"/>
      <c r="I94" s="1"/>
      <c r="J94" s="1"/>
      <c r="K94" s="1"/>
      <c r="L94" s="1"/>
      <c r="M94" s="1"/>
      <c r="N94" s="1"/>
    </row>
    <row r="95" spans="1:16" x14ac:dyDescent="0.3">
      <c r="A95" t="s">
        <v>75</v>
      </c>
      <c r="B95" s="1"/>
      <c r="C95" s="1"/>
      <c r="D95" s="1"/>
      <c r="E95" s="1"/>
      <c r="F95" s="1"/>
      <c r="G95" s="1"/>
      <c r="H95" s="1"/>
      <c r="I95" s="1"/>
      <c r="J95" s="1"/>
      <c r="K95" s="1"/>
      <c r="L95" s="1"/>
      <c r="M95" s="1"/>
      <c r="N95" s="1"/>
    </row>
    <row r="96" spans="1:16" x14ac:dyDescent="0.3">
      <c r="A96" t="s">
        <v>76</v>
      </c>
      <c r="B96" s="4"/>
      <c r="C96" s="4"/>
      <c r="D96" s="4"/>
      <c r="E96" s="4"/>
      <c r="F96" s="4"/>
      <c r="G96" s="4"/>
      <c r="H96" s="4"/>
      <c r="I96" s="4"/>
      <c r="J96" s="4"/>
      <c r="K96" s="4"/>
      <c r="L96" s="4"/>
      <c r="M96" s="4"/>
      <c r="N96" s="4"/>
    </row>
    <row r="97" spans="1:14" x14ac:dyDescent="0.3">
      <c r="A97" t="s">
        <v>77</v>
      </c>
      <c r="B97" s="4"/>
      <c r="C97" s="4"/>
      <c r="D97" s="4"/>
      <c r="E97" s="4"/>
      <c r="F97" s="4"/>
      <c r="G97" s="4"/>
      <c r="H97" s="4"/>
      <c r="I97" s="4"/>
      <c r="J97" s="4"/>
      <c r="K97" s="4"/>
      <c r="L97" s="4"/>
      <c r="M97" s="4"/>
      <c r="N97" s="4"/>
    </row>
    <row r="98" spans="1:14" x14ac:dyDescent="0.3">
      <c r="A98" t="s">
        <v>78</v>
      </c>
      <c r="B98" s="4"/>
      <c r="C98" s="4"/>
      <c r="D98" s="4"/>
      <c r="E98" s="4"/>
      <c r="F98" s="4"/>
      <c r="G98" s="4"/>
      <c r="H98" s="4"/>
      <c r="I98" s="4"/>
      <c r="J98" s="4"/>
      <c r="K98" s="4"/>
      <c r="L98" s="4"/>
      <c r="M98" s="4"/>
      <c r="N98" s="4"/>
    </row>
    <row r="100" spans="1:14" x14ac:dyDescent="0.3">
      <c r="A100" t="s">
        <v>79</v>
      </c>
      <c r="B100" s="25"/>
    </row>
    <row r="101" spans="1:14" x14ac:dyDescent="0.3">
      <c r="A101" t="s">
        <v>80</v>
      </c>
      <c r="B101" s="25"/>
    </row>
    <row r="102" spans="1:14" x14ac:dyDescent="0.3">
      <c r="A102" t="s">
        <v>81</v>
      </c>
      <c r="B102" s="25"/>
    </row>
    <row r="103" spans="1:14" x14ac:dyDescent="0.3">
      <c r="A103" t="s">
        <v>82</v>
      </c>
      <c r="B103" s="25"/>
    </row>
  </sheetData>
  <pageMargins left="0.7" right="0.7" top="0.75" bottom="0.75" header="0.3" footer="0.3"/>
  <pageSetup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University of Tampa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Speros Margetis</cp:lastModifiedBy>
  <cp:lastPrinted>2017-02-21T16:32:27Z</cp:lastPrinted>
  <dcterms:created xsi:type="dcterms:W3CDTF">2017-02-13T02:46:44Z</dcterms:created>
  <dcterms:modified xsi:type="dcterms:W3CDTF">2024-01-09T14:28:46Z</dcterms:modified>
</cp:coreProperties>
</file>